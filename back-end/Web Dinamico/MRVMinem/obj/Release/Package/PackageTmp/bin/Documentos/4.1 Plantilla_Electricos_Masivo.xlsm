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213F5175-73AF-41AB-B356-BAED810FBBF5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1" l="1"/>
  <c r="C7" i="1"/>
  <c r="E6" i="1"/>
  <c r="C6" i="1"/>
  <c r="E5" i="1"/>
  <c r="C5" i="1"/>
  <c r="E4" i="1"/>
  <c r="C4" i="1"/>
  <c r="E3" i="1"/>
  <c r="C3" i="1"/>
  <c r="E2" i="1"/>
  <c r="C2" i="1"/>
  <c r="C1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H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I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J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<sst xmlns="http://schemas.openxmlformats.org/spreadsheetml/2006/main" count="42" uniqueCount="28">
  <si>
    <t>KRV</t>
  </si>
  <si>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</si>
  <si>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</si>
  <si>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</si>
  <si>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</si>
  <si>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</si>
  <si>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</si>
  <si>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</si>
  <si>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</si>
  <si>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</si>
  <si>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</si>
  <si>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</si>
  <si>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</si>
  <si>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</si>
  <si>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</si>
  <si>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</si>
  <si>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</si>
  <si>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</si>
  <si>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</si>
  <si>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</si>
  <si>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Factor de Rendimiento</t>
  </si>
  <si>
    <t>Placa</t>
  </si>
  <si>
    <t>BCD-623</t>
  </si>
  <si>
    <t> F2V-960</t>
  </si>
  <si>
    <t>ABC-001</t>
  </si>
  <si>
    <t>ABC-002</t>
  </si>
  <si>
    <t>BKH-349</t>
  </si>
  <si>
    <t>BJI-197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</si>
</sst>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dd/mm/yyyy;@"/>
    <numFmt numFmtId="166" formatCode="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1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166" fontId="5" fillId="0" borderId="0" xfId="0" applyNumberFormat="1" applyFont="1" applyProtection="1">
      <protection locked="0"/>
    </xf>
    <xf numFmtId="0" fontId="6" fillId="0" borderId="0" xfId="1" applyFont="1" applyAlignment="1" applyProtection="1">
      <alignment horizontal="center" vertical="center"/>
      <protection locked="0"/>
    </xf>
    <xf numFmtId="165" fontId="6" fillId="0" borderId="0" xfId="1" applyNumberFormat="1" applyFont="1" applyAlignment="1" applyProtection="1">
      <alignment horizontal="center" vertical="center"/>
      <protection locked="0"/>
    </xf>
    <xf numFmtId="0" fontId="6" fillId="0" borderId="0" xfId="1" applyFont="1" applyAlignment="1" applyProtection="1">
      <alignment horizontal="center" vertical="center"/>
      <protection locked="0" hidden="1"/>
    </xf>
    <xf numFmtId="0" fontId="6" fillId="0" borderId="0" xfId="1" applyFont="1" applyAlignment="1" applyProtection="1">
      <alignment horizontal="left" vertical="center"/>
      <protection locked="0"/>
    </xf>
    <xf numFmtId="0" fontId="6" fillId="0" borderId="0" xfId="1" applyFont="1" applyAlignment="1" applyProtection="1">
      <alignment horizontal="left" vertical="center"/>
      <protection locked="0" hidden="1"/>
    </xf>
    <xf numFmtId="3" fontId="6" fillId="0" borderId="0" xfId="1" applyNumberFormat="1" applyFont="1" applyAlignment="1" applyProtection="1">
      <alignment horizontal="right" vertical="center"/>
      <protection locked="0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3" fillId="2" borderId="2" xfId="1" applyFont="1" applyFill="1" applyBorder="1" applyAlignment="1" applyProtection="1">
      <alignment horizontal="left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166" fontId="3" fillId="2" borderId="2" xfId="1" applyNumberFormat="1" applyFont="1" applyFill="1" applyBorder="1" applyAlignment="1" applyProtection="1">
      <alignment horizontal="center" vertical="center" wrapText="1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8"/>
  <sheetViews>
    <sheetView tabSelected="1" workbookViewId="0">
      <selection activeCell="F309" sqref="F309"/>
    </sheetView>
  </sheetViews>
  <sheetFormatPr baseColWidth="10" defaultColWidth="11.42578125" defaultRowHeight="12.75" x14ac:dyDescent="0.2"/>
  <cols>
    <col min="1" max="1" width="8.7109375" style="2" customWidth="1"/>
    <col min="2" max="2" width="16" style="17" customWidth="1"/>
    <col min="3" max="3" width="14.42578125" style="13" hidden="1" customWidth="1"/>
    <col min="4" max="4" width="19.42578125" style="3" customWidth="1"/>
    <col min="5" max="5" width="3.28515625" style="15" hidden="1" customWidth="1"/>
    <col min="6" max="6" width="15.140625" style="3" customWidth="1"/>
    <col min="7" max="7" width="12.7109375" style="4" customWidth="1"/>
    <col min="8" max="9" width="14.85546875" style="4" customWidth="1"/>
    <col min="10" max="10" width="13.42578125" style="18" customWidth="1"/>
    <col min="11" max="11" width="3" style="1" customWidth="1"/>
    <col min="12" max="14" width="11.42578125" style="1"/>
    <col min="15" max="15" width="3.28515625" style="1" customWidth="1"/>
    <col min="16" max="16384" width="11.42578125" style="1"/>
  </cols>
  <sheetData>
    <row r="1" spans="1:10" ht="25.5" x14ac:dyDescent="0.2">
      <c r="A1" s="25" t="s">
        <v>10</v>
      </c>
      <c r="B1" s="26" t="s">
        <v>19</v>
      </c>
      <c r="C1" s="25" t="e">
        <f t="shared" ref="C1" si="0">VLOOKUP(D1,Tabla_Vehiculo,2,)</f>
        <v>#N/A</v>
      </c>
      <c r="D1" s="27" t="s">
        <v>11</v>
      </c>
      <c r="E1" s="28" t="s">
        <v>18</v>
      </c>
      <c r="F1" s="28" t="s">
        <v>12</v>
      </c>
      <c r="G1" s="29" t="s">
        <v>0</v>
      </c>
      <c r="H1" s="29" t="s">
        <v>13</v>
      </c>
      <c r="I1" s="29" t="s">
        <v>21</v>
      </c>
      <c r="J1" s="30" t="s">
        <v>20</v>
      </c>
    </row>
    <row r="2" spans="1:10" x14ac:dyDescent="0.2">
      <c r="A2" s="19">
        <v>2018</v>
      </c>
      <c r="B2" s="20">
        <v>43179</v>
      </c>
      <c r="C2" s="21">
        <f t="shared" ref="C2:C7" si="1">VLOOKUP(D2,Tabla_Vehiculo,2,)</f>
        <v>1</v>
      </c>
      <c r="D2" s="22" t="s">
        <v>8</v>
      </c>
      <c r="E2" s="23">
        <f t="shared" ref="E2:E7" si="2">VLOOKUP(F2,Tabla_Combustible,2,)</f>
        <v>3</v>
      </c>
      <c r="F2" s="22" t="s">
        <v>1</v>
      </c>
      <c r="G2" s="24">
        <v>57600</v>
      </c>
      <c r="H2" s="24">
        <v>20</v>
      </c>
      <c r="I2" s="24" t="s">
        <v>24</v>
      </c>
      <c r="J2" s="18">
        <v>0.16289999999999999</v>
      </c>
    </row>
    <row r="3" spans="1:10" x14ac:dyDescent="0.2">
      <c r="A3" s="19">
        <v>2018</v>
      </c>
      <c r="B3" s="20">
        <v>43180</v>
      </c>
      <c r="C3" s="21">
        <f t="shared" si="1"/>
        <v>3</v>
      </c>
      <c r="D3" s="22" t="s">
        <v>2</v>
      </c>
      <c r="E3" s="23">
        <f t="shared" si="2"/>
        <v>4</v>
      </c>
      <c r="F3" s="22" t="s">
        <v>3</v>
      </c>
      <c r="G3" s="24">
        <v>60000</v>
      </c>
      <c r="H3" s="24">
        <v>4</v>
      </c>
      <c r="I3" s="24" t="s">
        <v>25</v>
      </c>
      <c r="J3" s="18">
        <v>1.2</v>
      </c>
    </row>
    <row r="4" spans="1:10" x14ac:dyDescent="0.2">
      <c r="A4" s="19">
        <v>2019</v>
      </c>
      <c r="B4" s="20">
        <v>43666</v>
      </c>
      <c r="C4" s="21">
        <f t="shared" si="1"/>
        <v>1</v>
      </c>
      <c r="D4" s="22" t="s">
        <v>8</v>
      </c>
      <c r="E4" s="23">
        <f t="shared" si="2"/>
        <v>3</v>
      </c>
      <c r="F4" s="22" t="s">
        <v>1</v>
      </c>
      <c r="G4" s="24">
        <v>34184</v>
      </c>
      <c r="H4" s="24">
        <v>1</v>
      </c>
      <c r="I4" s="24" t="s">
        <v>22</v>
      </c>
      <c r="J4" s="18">
        <v>0.25</v>
      </c>
    </row>
    <row r="5" spans="1:10" x14ac:dyDescent="0.2">
      <c r="A5" s="19">
        <v>2019</v>
      </c>
      <c r="B5" s="20">
        <v>43805</v>
      </c>
      <c r="C5" s="21">
        <f t="shared" si="1"/>
        <v>1</v>
      </c>
      <c r="D5" s="22" t="s">
        <v>8</v>
      </c>
      <c r="E5" s="23">
        <f t="shared" si="2"/>
        <v>3</v>
      </c>
      <c r="F5" s="22" t="s">
        <v>1</v>
      </c>
      <c r="G5" s="4">
        <v>6761</v>
      </c>
      <c r="H5" s="4">
        <v>1</v>
      </c>
      <c r="I5" s="24" t="s">
        <v>26</v>
      </c>
      <c r="J5" s="18">
        <v>0.1666</v>
      </c>
    </row>
    <row r="6" spans="1:10" x14ac:dyDescent="0.2">
      <c r="A6" s="19">
        <v>2019</v>
      </c>
      <c r="B6" s="20">
        <v>43545</v>
      </c>
      <c r="C6" s="21">
        <f t="shared" si="1"/>
        <v>3</v>
      </c>
      <c r="D6" s="22" t="s">
        <v>2</v>
      </c>
      <c r="E6" s="23">
        <f t="shared" si="2"/>
        <v>3</v>
      </c>
      <c r="F6" s="22" t="s">
        <v>1</v>
      </c>
      <c r="G6" s="24">
        <v>21799</v>
      </c>
      <c r="H6" s="24">
        <v>1</v>
      </c>
      <c r="I6" s="24" t="s">
        <v>23</v>
      </c>
      <c r="J6" s="18">
        <v>0.82299999999999995</v>
      </c>
    </row>
    <row r="7" spans="1:10" x14ac:dyDescent="0.2">
      <c r="A7" s="19">
        <v>2019</v>
      </c>
      <c r="B7" s="20">
        <v>43559</v>
      </c>
      <c r="C7" s="21">
        <f t="shared" si="1"/>
        <v>1</v>
      </c>
      <c r="D7" s="22" t="s">
        <v>8</v>
      </c>
      <c r="E7" s="23">
        <f t="shared" si="2"/>
        <v>3</v>
      </c>
      <c r="F7" s="22" t="s">
        <v>1</v>
      </c>
      <c r="G7" s="24">
        <v>10838</v>
      </c>
      <c r="H7" s="24">
        <v>1</v>
      </c>
      <c r="I7" s="24" t="s">
        <v>27</v>
      </c>
      <c r="J7" s="18">
        <v>0.14899999999999999</v>
      </c>
    </row>
    <row r="8" spans="1:10" x14ac:dyDescent="0.2">
      <c r="A8" s="5"/>
      <c r="B8" s="16"/>
      <c r="C8" s="12"/>
      <c r="D8" s="6"/>
      <c r="E8" s="14"/>
      <c r="F8" s="6"/>
      <c r="G8" s="7"/>
      <c r="H8" s="7"/>
      <c r="I8" s="7"/>
    </row>
  </sheetData>
  <sheetProtection algorithmName="SHA-512" hashValue="Ao1rrczP52wSak/nyYuqVkyRt8XWukhLhZMUHux5qLUIvjjc9sjnvojnBDlzuO8SV5+3JEe7fYFCRD1SB8oZYw==" saltValue="NzbIZBykydLUZMXuj1oqxw==" spinCount="100000" sheet="1" objects="1" scenarios="1"/>
  <dataValidations count="8">
    <dataValidation type="list" allowBlank="1" showInputMessage="1" showErrorMessage="1" sqref="D2:D1048576" xr:uid="{00000000-0002-0000-0000-000000000000}">
      <formula1>Tipo_de_Vehículo</formula1>
    </dataValidation>
    <dataValidation type="list" allowBlank="1" showInputMessage="1" showErrorMessage="1" sqref="F2:F1048576" xr:uid="{00000000-0002-0000-0000-000001000000}">
      <formula1>Combustible</formula1>
    </dataValidation>
    <dataValidation type="list" allowBlank="1" showInputMessage="1" showErrorMessage="1" sqref="A2:A1048576" xr:uid="{00000000-0002-0000-0000-000002000000}">
      <formula1>Año</formula1>
    </dataValidation>
    <dataValidation type="decimal" showInputMessage="1" showErrorMessage="1" sqref="G2:G1048576" xr:uid="{00000000-0002-0000-0000-000003000000}">
      <formula1>0</formula1>
      <formula2>9999999.99</formula2>
    </dataValidation>
    <dataValidation type="whole" showInputMessage="1" showErrorMessage="1" sqref="H2:H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2:B1048576" xr:uid="{00000000-0002-0000-0000-000005000000}">
      <formula1>TODAY()</formula1>
    </dataValidation>
    <dataValidation type="decimal" operator="lessThan" allowBlank="1" showInputMessage="1" showErrorMessage="1" error="Ingrese un valor numerico válido" sqref="J2:J1048576" xr:uid="{00000000-0002-0000-0000-000006000000}">
      <formula1>99.99</formula1>
    </dataValidation>
    <dataValidation showInputMessage="1" showErrorMessage="1" sqref="I2:I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9" customWidth="1"/>
    <col min="2" max="2" width="6.42578125" style="9" customWidth="1"/>
    <col min="3" max="3" width="20.28515625" style="9" customWidth="1"/>
    <col min="4" max="4" width="6.42578125" style="9" customWidth="1"/>
    <col min="5" max="5" width="10.85546875" style="9"/>
    <col min="6" max="6" width="16" style="9" customWidth="1"/>
    <col min="7" max="7" width="5.5703125" style="9" customWidth="1"/>
    <col min="8" max="16384" width="10.85546875" style="9"/>
  </cols>
  <sheetData>
    <row r="1" spans="1:7" x14ac:dyDescent="0.25">
      <c r="A1" s="8" t="s">
        <v>10</v>
      </c>
      <c r="C1" s="8" t="s">
        <v>14</v>
      </c>
      <c r="D1" s="8" t="s">
        <v>17</v>
      </c>
      <c r="F1" s="8" t="s">
        <v>5</v>
      </c>
      <c r="G1" s="8" t="s">
        <v>17</v>
      </c>
    </row>
    <row r="2" spans="1:7" x14ac:dyDescent="0.25">
      <c r="A2" s="10">
        <v>2020</v>
      </c>
      <c r="C2" s="10" t="s">
        <v>8</v>
      </c>
      <c r="D2" s="11">
        <v>1</v>
      </c>
      <c r="F2" s="10" t="s">
        <v>6</v>
      </c>
      <c r="G2" s="11">
        <v>1</v>
      </c>
    </row>
    <row r="3" spans="1:7" x14ac:dyDescent="0.25">
      <c r="A3" s="10">
        <f>A2-1</f>
        <v>2019</v>
      </c>
      <c r="C3" s="10" t="s">
        <v>9</v>
      </c>
      <c r="D3" s="11">
        <v>2</v>
      </c>
      <c r="F3" s="10" t="s">
        <v>7</v>
      </c>
      <c r="G3" s="11">
        <v>2</v>
      </c>
    </row>
    <row r="4" spans="1:7" x14ac:dyDescent="0.25">
      <c r="A4" s="10">
        <f t="shared" ref="A4:A22" si="0">A3-1</f>
        <v>2018</v>
      </c>
      <c r="C4" s="10" t="s">
        <v>2</v>
      </c>
      <c r="D4" s="11">
        <v>3</v>
      </c>
      <c r="F4" s="10" t="s">
        <v>1</v>
      </c>
      <c r="G4" s="11">
        <v>3</v>
      </c>
    </row>
    <row r="5" spans="1:7" x14ac:dyDescent="0.25">
      <c r="A5" s="10">
        <f t="shared" si="0"/>
        <v>2017</v>
      </c>
      <c r="C5" s="10" t="s">
        <v>15</v>
      </c>
      <c r="D5" s="11">
        <v>4</v>
      </c>
      <c r="F5" s="10" t="s">
        <v>3</v>
      </c>
      <c r="G5" s="11">
        <v>4</v>
      </c>
    </row>
    <row r="6" spans="1:7" x14ac:dyDescent="0.25">
      <c r="A6" s="10">
        <f t="shared" si="0"/>
        <v>2016</v>
      </c>
      <c r="C6" s="10" t="s">
        <v>16</v>
      </c>
      <c r="D6" s="11">
        <v>5</v>
      </c>
    </row>
    <row r="7" spans="1:7" x14ac:dyDescent="0.25">
      <c r="A7" s="10">
        <f t="shared" si="0"/>
        <v>2015</v>
      </c>
      <c r="C7" s="10" t="s">
        <v>4</v>
      </c>
      <c r="D7" s="11">
        <v>6</v>
      </c>
    </row>
    <row r="8" spans="1:7" x14ac:dyDescent="0.25">
      <c r="A8" s="10">
        <f t="shared" si="0"/>
        <v>2014</v>
      </c>
    </row>
    <row r="9" spans="1:7" x14ac:dyDescent="0.25">
      <c r="A9" s="10">
        <f t="shared" si="0"/>
        <v>2013</v>
      </c>
    </row>
    <row r="10" spans="1:7" x14ac:dyDescent="0.25">
      <c r="A10" s="10">
        <f t="shared" si="0"/>
        <v>2012</v>
      </c>
    </row>
    <row r="11" spans="1:7" x14ac:dyDescent="0.25">
      <c r="A11" s="10">
        <f t="shared" si="0"/>
        <v>2011</v>
      </c>
    </row>
    <row r="12" spans="1:7" x14ac:dyDescent="0.25">
      <c r="A12" s="10">
        <f t="shared" si="0"/>
        <v>2010</v>
      </c>
    </row>
    <row r="13" spans="1:7" x14ac:dyDescent="0.25">
      <c r="A13" s="10">
        <f t="shared" si="0"/>
        <v>2009</v>
      </c>
    </row>
    <row r="14" spans="1:7" x14ac:dyDescent="0.25">
      <c r="A14" s="10">
        <f t="shared" si="0"/>
        <v>2008</v>
      </c>
    </row>
    <row r="15" spans="1:7" x14ac:dyDescent="0.25">
      <c r="A15" s="10">
        <f t="shared" si="0"/>
        <v>2007</v>
      </c>
    </row>
    <row r="16" spans="1:7" x14ac:dyDescent="0.25">
      <c r="A16" s="10">
        <f t="shared" si="0"/>
        <v>2006</v>
      </c>
    </row>
    <row r="17" spans="1:1" x14ac:dyDescent="0.25">
      <c r="A17" s="10">
        <f t="shared" si="0"/>
        <v>2005</v>
      </c>
    </row>
    <row r="18" spans="1:1" x14ac:dyDescent="0.25">
      <c r="A18" s="10">
        <f t="shared" si="0"/>
        <v>2004</v>
      </c>
    </row>
    <row r="19" spans="1:1" x14ac:dyDescent="0.25">
      <c r="A19" s="10">
        <f t="shared" si="0"/>
        <v>2003</v>
      </c>
    </row>
    <row r="20" spans="1:1" x14ac:dyDescent="0.25">
      <c r="A20" s="10">
        <f t="shared" si="0"/>
        <v>2002</v>
      </c>
    </row>
    <row r="21" spans="1:1" x14ac:dyDescent="0.25">
      <c r="A21" s="10">
        <f t="shared" si="0"/>
        <v>2001</v>
      </c>
    </row>
    <row r="22" spans="1:1" x14ac:dyDescent="0.25">
      <c r="A22" s="10">
        <f t="shared" si="0"/>
        <v>2000</v>
      </c>
    </row>
    <row r="23" spans="1:1" x14ac:dyDescent="0.25">
      <c r="A23" s="11">
        <v>2021</v>
      </c>
    </row>
    <row r="24" spans="1:1" x14ac:dyDescent="0.25">
      <c r="A24" s="11">
        <v>2022</v>
      </c>
    </row>
    <row r="25" spans="1:1" x14ac:dyDescent="0.25">
      <c r="A25" s="11">
        <v>2023</v>
      </c>
    </row>
    <row r="26" spans="1:1" x14ac:dyDescent="0.25">
      <c r="A26" s="11">
        <v>2024</v>
      </c>
    </row>
    <row r="27" spans="1:1" x14ac:dyDescent="0.25">
      <c r="A27" s="11">
        <v>2025</v>
      </c>
    </row>
    <row r="28" spans="1:1" x14ac:dyDescent="0.25">
      <c r="A28" s="11">
        <v>2026</v>
      </c>
    </row>
    <row r="29" spans="1:1" x14ac:dyDescent="0.25">
      <c r="A29" s="11">
        <v>2027</v>
      </c>
    </row>
    <row r="30" spans="1:1" x14ac:dyDescent="0.25">
      <c r="A30" s="11">
        <v>2028</v>
      </c>
    </row>
    <row r="31" spans="1:1" x14ac:dyDescent="0.25">
      <c r="A31" s="11">
        <v>2029</v>
      </c>
    </row>
    <row r="32" spans="1:1" x14ac:dyDescent="0.25">
      <c r="A32" s="11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2020-02-21T15:23:19Z</dcterms:modified>
</cp:coreProperties>
</file>