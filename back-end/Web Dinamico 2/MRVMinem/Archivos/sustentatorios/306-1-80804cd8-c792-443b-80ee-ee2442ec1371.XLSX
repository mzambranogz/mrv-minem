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aled_\OneDrive\Desktop\Plataforma MRV\Datos reales\FINAL\Templates MRV\"/>
    </mc:Choice>
  </mc:AlternateContent>
  <xr:revisionPtr revIDLastSave="0" documentId="13_ncr:1_{39ED2B75-52EE-46BA-8AF5-47C37074D5E5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General" sheetId="1" r:id="rId1"/>
    <sheet name="Proveedores" sheetId="2" r:id="rId2"/>
    <sheet name="Formato" sheetId="3" r:id="rId3"/>
    <sheet name="Variables" sheetId="4" r:id="rId4"/>
    <sheet name="Factores" sheetId="5" r:id="rId5"/>
  </sheets>
  <externalReferences>
    <externalReference r:id="rId6"/>
    <externalReference r:id="rId7"/>
    <externalReference r:id="rId8"/>
  </externalReferences>
  <definedNames>
    <definedName name="Lista_coccion">[3]Hoja2!$F$6:$F$17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84" i="3" l="1"/>
  <c r="M185" i="3"/>
  <c r="M184" i="3"/>
  <c r="I182" i="3"/>
  <c r="I162" i="3"/>
  <c r="K128" i="3"/>
  <c r="K159" i="3"/>
  <c r="K181" i="3"/>
  <c r="K179" i="3"/>
  <c r="K168" i="3"/>
  <c r="K171" i="3"/>
  <c r="K177" i="3"/>
  <c r="K176" i="3"/>
  <c r="K174" i="3"/>
  <c r="K172" i="3"/>
  <c r="K169" i="3"/>
  <c r="K166" i="3"/>
  <c r="K180" i="3"/>
  <c r="K178" i="3"/>
  <c r="K175" i="3"/>
  <c r="K173" i="3"/>
  <c r="K170" i="3"/>
  <c r="K167" i="3"/>
  <c r="K165" i="3"/>
  <c r="K164" i="3"/>
  <c r="K163" i="3"/>
  <c r="K161" i="3"/>
  <c r="K151" i="3"/>
  <c r="K148" i="3"/>
  <c r="K157" i="3"/>
  <c r="K156" i="3"/>
  <c r="K154" i="3"/>
  <c r="K152" i="3"/>
  <c r="K149" i="3"/>
  <c r="K146" i="3"/>
  <c r="K158" i="3"/>
  <c r="K155" i="3"/>
  <c r="K153" i="3"/>
  <c r="K150" i="3"/>
  <c r="K147" i="3"/>
  <c r="K145" i="3"/>
  <c r="K144" i="3"/>
  <c r="K143" i="3"/>
  <c r="K139" i="3"/>
  <c r="K141" i="3"/>
  <c r="K131" i="3"/>
  <c r="K137" i="3"/>
  <c r="K136" i="3"/>
  <c r="K134" i="3"/>
  <c r="K132" i="3"/>
  <c r="K129" i="3"/>
  <c r="K126" i="3"/>
  <c r="K140" i="3"/>
  <c r="K138" i="3"/>
  <c r="K135" i="3"/>
  <c r="K133" i="3"/>
  <c r="K130" i="3"/>
  <c r="K127" i="3"/>
  <c r="K125" i="3"/>
  <c r="K124" i="3"/>
  <c r="K123" i="3"/>
  <c r="K160" i="3"/>
  <c r="K120" i="3"/>
  <c r="K119" i="3"/>
  <c r="K121" i="3"/>
  <c r="K111" i="3"/>
  <c r="K108" i="3"/>
  <c r="K101" i="3"/>
  <c r="K117" i="3"/>
  <c r="K116" i="3"/>
  <c r="K114" i="3"/>
  <c r="K112" i="3"/>
  <c r="K109" i="3"/>
  <c r="K106" i="3"/>
  <c r="K105" i="3"/>
  <c r="K104" i="3"/>
  <c r="K118" i="3"/>
  <c r="K115" i="3"/>
  <c r="K113" i="3"/>
  <c r="K110" i="3"/>
  <c r="K107" i="3"/>
  <c r="K103" i="3"/>
  <c r="K92" i="3"/>
  <c r="K98" i="3"/>
  <c r="K97" i="3"/>
  <c r="K95" i="3"/>
  <c r="K93" i="3"/>
  <c r="K90" i="3"/>
  <c r="K88" i="3"/>
  <c r="K100" i="3"/>
  <c r="K99" i="3"/>
  <c r="K96" i="3"/>
  <c r="K94" i="3"/>
  <c r="K91" i="3"/>
  <c r="K89" i="3"/>
  <c r="K87" i="3"/>
  <c r="K86" i="3"/>
  <c r="K83" i="3"/>
  <c r="K80" i="3"/>
  <c r="K78" i="3"/>
  <c r="K75" i="3"/>
  <c r="K73" i="3"/>
  <c r="K84" i="3"/>
  <c r="K76" i="3"/>
  <c r="K82" i="3"/>
  <c r="K81" i="3"/>
  <c r="K79" i="3"/>
  <c r="K77" i="3"/>
  <c r="K74" i="3"/>
  <c r="K72" i="3"/>
  <c r="K71" i="3"/>
  <c r="K69" i="3"/>
  <c r="K61" i="3"/>
  <c r="K67" i="3"/>
  <c r="K66" i="3"/>
  <c r="K64" i="3"/>
  <c r="K62" i="3"/>
  <c r="K59" i="3"/>
  <c r="K57" i="3"/>
  <c r="K68" i="3"/>
  <c r="K65" i="3"/>
  <c r="K63" i="3"/>
  <c r="K60" i="3"/>
  <c r="K58" i="3"/>
  <c r="K56" i="3"/>
  <c r="K54" i="3"/>
  <c r="K46" i="3"/>
  <c r="K52" i="3"/>
  <c r="K51" i="3"/>
  <c r="K49" i="3"/>
  <c r="K47" i="3"/>
  <c r="K44" i="3"/>
  <c r="K53" i="3"/>
  <c r="K50" i="3"/>
  <c r="K48" i="3"/>
  <c r="K45" i="3"/>
  <c r="K43" i="3"/>
  <c r="K42" i="3"/>
  <c r="K40" i="3"/>
  <c r="K32" i="3"/>
  <c r="K38" i="3"/>
  <c r="K37" i="3"/>
  <c r="K35" i="3"/>
  <c r="K33" i="3"/>
  <c r="K30" i="3"/>
  <c r="K29" i="3"/>
  <c r="K39" i="3"/>
  <c r="K36" i="3"/>
  <c r="K34" i="3"/>
  <c r="K31" i="3"/>
  <c r="K28" i="3"/>
  <c r="K26" i="3"/>
  <c r="K19" i="3"/>
  <c r="K24" i="3"/>
  <c r="K23" i="3"/>
  <c r="K21" i="3"/>
  <c r="K20" i="3"/>
  <c r="K17" i="3"/>
  <c r="K25" i="3"/>
  <c r="K22" i="3"/>
  <c r="K18" i="3"/>
  <c r="K13" i="3"/>
  <c r="K12" i="3"/>
  <c r="K10" i="3"/>
  <c r="K9" i="3"/>
  <c r="K6" i="3"/>
  <c r="K16" i="3"/>
  <c r="K8" i="3"/>
  <c r="K14" i="3"/>
  <c r="K11" i="3"/>
  <c r="K7" i="3"/>
  <c r="K5" i="3"/>
  <c r="E164" i="3"/>
  <c r="L164" i="3" s="1"/>
  <c r="E165" i="3"/>
  <c r="L165" i="3" s="1"/>
  <c r="E166" i="3"/>
  <c r="L166" i="3" s="1"/>
  <c r="E167" i="3"/>
  <c r="L167" i="3" s="1"/>
  <c r="E168" i="3"/>
  <c r="L168" i="3" s="1"/>
  <c r="M168" i="3" s="1"/>
  <c r="E169" i="3"/>
  <c r="L169" i="3" s="1"/>
  <c r="E170" i="3"/>
  <c r="L170" i="3" s="1"/>
  <c r="M170" i="3" s="1"/>
  <c r="E171" i="3"/>
  <c r="L171" i="3" s="1"/>
  <c r="E172" i="3"/>
  <c r="L172" i="3" s="1"/>
  <c r="E173" i="3"/>
  <c r="I173" i="3" s="1"/>
  <c r="E174" i="3"/>
  <c r="L174" i="3" s="1"/>
  <c r="M174" i="3" s="1"/>
  <c r="E175" i="3"/>
  <c r="L175" i="3" s="1"/>
  <c r="E176" i="3"/>
  <c r="I176" i="3" s="1"/>
  <c r="E177" i="3"/>
  <c r="L177" i="3" s="1"/>
  <c r="M177" i="3" s="1"/>
  <c r="E178" i="3"/>
  <c r="L178" i="3" s="1"/>
  <c r="M178" i="3" s="1"/>
  <c r="E179" i="3"/>
  <c r="L179" i="3" s="1"/>
  <c r="M179" i="3" s="1"/>
  <c r="E180" i="3"/>
  <c r="I180" i="3" s="1"/>
  <c r="E181" i="3"/>
  <c r="I181" i="3" s="1"/>
  <c r="E163" i="3"/>
  <c r="I163" i="3" s="1"/>
  <c r="E144" i="3"/>
  <c r="L144" i="3" s="1"/>
  <c r="M144" i="3" s="1"/>
  <c r="E145" i="3"/>
  <c r="I145" i="3" s="1"/>
  <c r="E146" i="3"/>
  <c r="L146" i="3" s="1"/>
  <c r="E147" i="3"/>
  <c r="L147" i="3" s="1"/>
  <c r="E148" i="3"/>
  <c r="L148" i="3" s="1"/>
  <c r="M148" i="3" s="1"/>
  <c r="E149" i="3"/>
  <c r="L149" i="3" s="1"/>
  <c r="M149" i="3" s="1"/>
  <c r="E150" i="3"/>
  <c r="L150" i="3" s="1"/>
  <c r="M150" i="3" s="1"/>
  <c r="E151" i="3"/>
  <c r="I151" i="3" s="1"/>
  <c r="E152" i="3"/>
  <c r="I152" i="3" s="1"/>
  <c r="E153" i="3"/>
  <c r="L153" i="3" s="1"/>
  <c r="E154" i="3"/>
  <c r="L154" i="3" s="1"/>
  <c r="M154" i="3" s="1"/>
  <c r="E155" i="3"/>
  <c r="L155" i="3" s="1"/>
  <c r="M155" i="3" s="1"/>
  <c r="E156" i="3"/>
  <c r="I156" i="3" s="1"/>
  <c r="E157" i="3"/>
  <c r="L157" i="3" s="1"/>
  <c r="M157" i="3" s="1"/>
  <c r="E158" i="3"/>
  <c r="I158" i="3" s="1"/>
  <c r="E159" i="3"/>
  <c r="L159" i="3" s="1"/>
  <c r="M159" i="3" s="1"/>
  <c r="E160" i="3"/>
  <c r="L160" i="3" s="1"/>
  <c r="M160" i="3" s="1"/>
  <c r="E161" i="3"/>
  <c r="L161" i="3" s="1"/>
  <c r="M161" i="3" s="1"/>
  <c r="E143" i="3"/>
  <c r="L143" i="3" s="1"/>
  <c r="E124" i="3"/>
  <c r="L124" i="3" s="1"/>
  <c r="E125" i="3"/>
  <c r="I125" i="3" s="1"/>
  <c r="E126" i="3"/>
  <c r="L126" i="3" s="1"/>
  <c r="E127" i="3"/>
  <c r="L127" i="3" s="1"/>
  <c r="M127" i="3" s="1"/>
  <c r="E128" i="3"/>
  <c r="L128" i="3" s="1"/>
  <c r="E129" i="3"/>
  <c r="I129" i="3" s="1"/>
  <c r="E130" i="3"/>
  <c r="L130" i="3" s="1"/>
  <c r="M130" i="3" s="1"/>
  <c r="E131" i="3"/>
  <c r="I131" i="3" s="1"/>
  <c r="E132" i="3"/>
  <c r="L132" i="3" s="1"/>
  <c r="E133" i="3"/>
  <c r="I133" i="3" s="1"/>
  <c r="E134" i="3"/>
  <c r="L134" i="3" s="1"/>
  <c r="M134" i="3" s="1"/>
  <c r="E135" i="3"/>
  <c r="L135" i="3" s="1"/>
  <c r="E136" i="3"/>
  <c r="L136" i="3" s="1"/>
  <c r="M136" i="3" s="1"/>
  <c r="E137" i="3"/>
  <c r="L137" i="3" s="1"/>
  <c r="M137" i="3" s="1"/>
  <c r="E138" i="3"/>
  <c r="L138" i="3" s="1"/>
  <c r="M138" i="3" s="1"/>
  <c r="E139" i="3"/>
  <c r="L139" i="3" s="1"/>
  <c r="M139" i="3" s="1"/>
  <c r="E140" i="3"/>
  <c r="L140" i="3" s="1"/>
  <c r="M140" i="3" s="1"/>
  <c r="E141" i="3"/>
  <c r="L141" i="3" s="1"/>
  <c r="M141" i="3" s="1"/>
  <c r="E123" i="3"/>
  <c r="L123" i="3" s="1"/>
  <c r="E104" i="3"/>
  <c r="L104" i="3" s="1"/>
  <c r="M104" i="3" s="1"/>
  <c r="E105" i="3"/>
  <c r="I105" i="3" s="1"/>
  <c r="E106" i="3"/>
  <c r="L106" i="3" s="1"/>
  <c r="E107" i="3"/>
  <c r="L107" i="3" s="1"/>
  <c r="M107" i="3" s="1"/>
  <c r="E108" i="3"/>
  <c r="L108" i="3" s="1"/>
  <c r="E109" i="3"/>
  <c r="L109" i="3" s="1"/>
  <c r="M109" i="3" s="1"/>
  <c r="E110" i="3"/>
  <c r="I110" i="3" s="1"/>
  <c r="E111" i="3"/>
  <c r="L111" i="3" s="1"/>
  <c r="E112" i="3"/>
  <c r="L112" i="3" s="1"/>
  <c r="E113" i="3"/>
  <c r="L113" i="3" s="1"/>
  <c r="M113" i="3" s="1"/>
  <c r="E114" i="3"/>
  <c r="L114" i="3" s="1"/>
  <c r="E115" i="3"/>
  <c r="L115" i="3" s="1"/>
  <c r="M115" i="3" s="1"/>
  <c r="E116" i="3"/>
  <c r="I116" i="3" s="1"/>
  <c r="E117" i="3"/>
  <c r="L117" i="3" s="1"/>
  <c r="E118" i="3"/>
  <c r="L118" i="3" s="1"/>
  <c r="M118" i="3" s="1"/>
  <c r="E119" i="3"/>
  <c r="L119" i="3" s="1"/>
  <c r="E120" i="3"/>
  <c r="L120" i="3" s="1"/>
  <c r="M120" i="3" s="1"/>
  <c r="E121" i="3"/>
  <c r="I121" i="3" s="1"/>
  <c r="E103" i="3"/>
  <c r="L103" i="3" s="1"/>
  <c r="E87" i="3"/>
  <c r="L87" i="3" s="1"/>
  <c r="M87" i="3" s="1"/>
  <c r="E88" i="3"/>
  <c r="L88" i="3" s="1"/>
  <c r="E89" i="3"/>
  <c r="L89" i="3" s="1"/>
  <c r="M89" i="3" s="1"/>
  <c r="E90" i="3"/>
  <c r="L90" i="3" s="1"/>
  <c r="E91" i="3"/>
  <c r="L91" i="3" s="1"/>
  <c r="M91" i="3" s="1"/>
  <c r="E92" i="3"/>
  <c r="L92" i="3" s="1"/>
  <c r="E93" i="3"/>
  <c r="L93" i="3" s="1"/>
  <c r="M93" i="3" s="1"/>
  <c r="E94" i="3"/>
  <c r="I94" i="3" s="1"/>
  <c r="E95" i="3"/>
  <c r="L95" i="3" s="1"/>
  <c r="M95" i="3" s="1"/>
  <c r="E96" i="3"/>
  <c r="L96" i="3" s="1"/>
  <c r="E97" i="3"/>
  <c r="I97" i="3" s="1"/>
  <c r="E98" i="3"/>
  <c r="L98" i="3" s="1"/>
  <c r="M98" i="3" s="1"/>
  <c r="E99" i="3"/>
  <c r="L99" i="3" s="1"/>
  <c r="M99" i="3" s="1"/>
  <c r="E100" i="3"/>
  <c r="I100" i="3" s="1"/>
  <c r="E101" i="3"/>
  <c r="I101" i="3" s="1"/>
  <c r="E86" i="3"/>
  <c r="L86" i="3" s="1"/>
  <c r="M86" i="3" s="1"/>
  <c r="E72" i="3"/>
  <c r="L72" i="3" s="1"/>
  <c r="M72" i="3" s="1"/>
  <c r="E73" i="3"/>
  <c r="L73" i="3" s="1"/>
  <c r="M73" i="3" s="1"/>
  <c r="E74" i="3"/>
  <c r="L74" i="3" s="1"/>
  <c r="E75" i="3"/>
  <c r="L75" i="3" s="1"/>
  <c r="E76" i="3"/>
  <c r="L76" i="3" s="1"/>
  <c r="E77" i="3"/>
  <c r="I77" i="3" s="1"/>
  <c r="E78" i="3"/>
  <c r="I78" i="3" s="1"/>
  <c r="E79" i="3"/>
  <c r="L79" i="3" s="1"/>
  <c r="M79" i="3" s="1"/>
  <c r="E80" i="3"/>
  <c r="L80" i="3" s="1"/>
  <c r="E81" i="3"/>
  <c r="L81" i="3" s="1"/>
  <c r="E82" i="3"/>
  <c r="I82" i="3" s="1"/>
  <c r="E83" i="3"/>
  <c r="L83" i="3" s="1"/>
  <c r="E84" i="3"/>
  <c r="L84" i="3" s="1"/>
  <c r="E71" i="3"/>
  <c r="I71" i="3" s="1"/>
  <c r="E57" i="3"/>
  <c r="L57" i="3" s="1"/>
  <c r="E58" i="3"/>
  <c r="L58" i="3" s="1"/>
  <c r="M58" i="3" s="1"/>
  <c r="E59" i="3"/>
  <c r="I59" i="3" s="1"/>
  <c r="E60" i="3"/>
  <c r="L60" i="3" s="1"/>
  <c r="E61" i="3"/>
  <c r="I61" i="3" s="1"/>
  <c r="E62" i="3"/>
  <c r="L62" i="3" s="1"/>
  <c r="E63" i="3"/>
  <c r="L63" i="3" s="1"/>
  <c r="E64" i="3"/>
  <c r="L64" i="3" s="1"/>
  <c r="M64" i="3" s="1"/>
  <c r="E65" i="3"/>
  <c r="I65" i="3" s="1"/>
  <c r="E66" i="3"/>
  <c r="L66" i="3" s="1"/>
  <c r="E67" i="3"/>
  <c r="L67" i="3" s="1"/>
  <c r="E68" i="3"/>
  <c r="L68" i="3" s="1"/>
  <c r="M68" i="3" s="1"/>
  <c r="E69" i="3"/>
  <c r="L69" i="3" s="1"/>
  <c r="M69" i="3" s="1"/>
  <c r="E56" i="3"/>
  <c r="L56" i="3" s="1"/>
  <c r="M56" i="3" s="1"/>
  <c r="E43" i="3"/>
  <c r="L43" i="3" s="1"/>
  <c r="E44" i="3"/>
  <c r="L44" i="3" s="1"/>
  <c r="E45" i="3"/>
  <c r="I45" i="3" s="1"/>
  <c r="E46" i="3"/>
  <c r="L46" i="3" s="1"/>
  <c r="E47" i="3"/>
  <c r="I47" i="3" s="1"/>
  <c r="E48" i="3"/>
  <c r="L48" i="3" s="1"/>
  <c r="E49" i="3"/>
  <c r="L49" i="3" s="1"/>
  <c r="E50" i="3"/>
  <c r="L50" i="3" s="1"/>
  <c r="M50" i="3" s="1"/>
  <c r="E51" i="3"/>
  <c r="L51" i="3" s="1"/>
  <c r="E52" i="3"/>
  <c r="I52" i="3" s="1"/>
  <c r="E53" i="3"/>
  <c r="L53" i="3" s="1"/>
  <c r="E54" i="3"/>
  <c r="L54" i="3" s="1"/>
  <c r="E42" i="3"/>
  <c r="I42" i="3" s="1"/>
  <c r="E29" i="3"/>
  <c r="I29" i="3" s="1"/>
  <c r="E30" i="3"/>
  <c r="L30" i="3" s="1"/>
  <c r="E31" i="3"/>
  <c r="L31" i="3" s="1"/>
  <c r="E32" i="3"/>
  <c r="L32" i="3" s="1"/>
  <c r="E33" i="3"/>
  <c r="L33" i="3" s="1"/>
  <c r="E34" i="3"/>
  <c r="I34" i="3" s="1"/>
  <c r="E35" i="3"/>
  <c r="L35" i="3" s="1"/>
  <c r="E36" i="3"/>
  <c r="L36" i="3" s="1"/>
  <c r="E37" i="3"/>
  <c r="L37" i="3" s="1"/>
  <c r="E38" i="3"/>
  <c r="I38" i="3" s="1"/>
  <c r="E39" i="3"/>
  <c r="L39" i="3" s="1"/>
  <c r="E40" i="3"/>
  <c r="L40" i="3" s="1"/>
  <c r="M40" i="3" s="1"/>
  <c r="E28" i="3"/>
  <c r="I28" i="3" s="1"/>
  <c r="E17" i="3"/>
  <c r="L17" i="3" s="1"/>
  <c r="M17" i="3" s="1"/>
  <c r="E18" i="3"/>
  <c r="L18" i="3" s="1"/>
  <c r="E19" i="3"/>
  <c r="L19" i="3" s="1"/>
  <c r="E20" i="3"/>
  <c r="L20" i="3" s="1"/>
  <c r="E21" i="3"/>
  <c r="L21" i="3" s="1"/>
  <c r="M21" i="3" s="1"/>
  <c r="E22" i="3"/>
  <c r="L22" i="3" s="1"/>
  <c r="E23" i="3"/>
  <c r="L23" i="3" s="1"/>
  <c r="E24" i="3"/>
  <c r="I24" i="3" s="1"/>
  <c r="E25" i="3"/>
  <c r="I25" i="3" s="1"/>
  <c r="E26" i="3"/>
  <c r="L26" i="3" s="1"/>
  <c r="M26" i="3" s="1"/>
  <c r="E16" i="3"/>
  <c r="I16" i="3" s="1"/>
  <c r="E6" i="3"/>
  <c r="L6" i="3" s="1"/>
  <c r="E7" i="3"/>
  <c r="I7" i="3" s="1"/>
  <c r="E8" i="3"/>
  <c r="L8" i="3" s="1"/>
  <c r="E9" i="3"/>
  <c r="L9" i="3" s="1"/>
  <c r="E10" i="3"/>
  <c r="L10" i="3" s="1"/>
  <c r="E11" i="3"/>
  <c r="I11" i="3" s="1"/>
  <c r="E12" i="3"/>
  <c r="L12" i="3" s="1"/>
  <c r="E13" i="3"/>
  <c r="I13" i="3" s="1"/>
  <c r="E14" i="3"/>
  <c r="L14" i="3" s="1"/>
  <c r="E5" i="3"/>
  <c r="L5" i="3" s="1"/>
  <c r="N115" i="3" l="1"/>
  <c r="N77" i="3"/>
  <c r="N104" i="3"/>
  <c r="N149" i="3"/>
  <c r="N68" i="3"/>
  <c r="N42" i="3"/>
  <c r="N179" i="3"/>
  <c r="M78" i="3"/>
  <c r="N78" i="3" s="1"/>
  <c r="M151" i="3"/>
  <c r="N151" i="3" s="1"/>
  <c r="N140" i="3"/>
  <c r="M14" i="3"/>
  <c r="N139" i="3"/>
  <c r="I14" i="3"/>
  <c r="I8" i="3"/>
  <c r="I10" i="3"/>
  <c r="L13" i="3"/>
  <c r="M25" i="3"/>
  <c r="N25" i="3" s="1"/>
  <c r="I21" i="3"/>
  <c r="N21" i="3" s="1"/>
  <c r="L24" i="3"/>
  <c r="L34" i="3"/>
  <c r="I35" i="3"/>
  <c r="L38" i="3"/>
  <c r="L45" i="3"/>
  <c r="I53" i="3"/>
  <c r="L47" i="3"/>
  <c r="M47" i="3" s="1"/>
  <c r="N47" i="3" s="1"/>
  <c r="I56" i="3"/>
  <c r="N56" i="3" s="1"/>
  <c r="I60" i="3"/>
  <c r="L65" i="3"/>
  <c r="M65" i="3" s="1"/>
  <c r="N65" i="3" s="1"/>
  <c r="M59" i="3"/>
  <c r="N59" i="3" s="1"/>
  <c r="I66" i="3"/>
  <c r="L61" i="3"/>
  <c r="I72" i="3"/>
  <c r="N72" i="3" s="1"/>
  <c r="L77" i="3"/>
  <c r="I73" i="3"/>
  <c r="N73" i="3" s="1"/>
  <c r="L78" i="3"/>
  <c r="I86" i="3"/>
  <c r="N86" i="3" s="1"/>
  <c r="I89" i="3"/>
  <c r="N89" i="3" s="1"/>
  <c r="L94" i="3"/>
  <c r="M94" i="3" s="1"/>
  <c r="N94" i="3" s="1"/>
  <c r="I93" i="3"/>
  <c r="N93" i="3" s="1"/>
  <c r="L97" i="3"/>
  <c r="M97" i="3" s="1"/>
  <c r="I103" i="3"/>
  <c r="I118" i="3"/>
  <c r="N118" i="3" s="1"/>
  <c r="I112" i="3"/>
  <c r="L116" i="3"/>
  <c r="M116" i="3" s="1"/>
  <c r="N116" i="3" s="1"/>
  <c r="I108" i="3"/>
  <c r="N108" i="3" s="1"/>
  <c r="L121" i="3"/>
  <c r="M121" i="3" s="1"/>
  <c r="N121" i="3" s="1"/>
  <c r="I160" i="3"/>
  <c r="N160" i="3" s="1"/>
  <c r="I123" i="3"/>
  <c r="L125" i="3"/>
  <c r="M125" i="3" s="1"/>
  <c r="I143" i="3"/>
  <c r="M145" i="3"/>
  <c r="I153" i="3"/>
  <c r="L158" i="3"/>
  <c r="M158" i="3" s="1"/>
  <c r="N158" i="3" s="1"/>
  <c r="L156" i="3"/>
  <c r="I167" i="3"/>
  <c r="L173" i="3"/>
  <c r="I172" i="3"/>
  <c r="L176" i="3"/>
  <c r="M176" i="3" s="1"/>
  <c r="N176" i="3" s="1"/>
  <c r="I168" i="3"/>
  <c r="N168" i="3" s="1"/>
  <c r="M7" i="3"/>
  <c r="L16" i="3"/>
  <c r="M10" i="3"/>
  <c r="I18" i="3"/>
  <c r="L25" i="3"/>
  <c r="I19" i="3"/>
  <c r="L28" i="3"/>
  <c r="M28" i="3" s="1"/>
  <c r="N28" i="3" s="1"/>
  <c r="I36" i="3"/>
  <c r="N36" i="3" s="1"/>
  <c r="L29" i="3"/>
  <c r="M29" i="3" s="1"/>
  <c r="N29" i="3" s="1"/>
  <c r="M35" i="3"/>
  <c r="I32" i="3"/>
  <c r="L42" i="3"/>
  <c r="M42" i="3" s="1"/>
  <c r="I48" i="3"/>
  <c r="N48" i="3" s="1"/>
  <c r="M53" i="3"/>
  <c r="I49" i="3"/>
  <c r="L52" i="3"/>
  <c r="M52" i="3" s="1"/>
  <c r="N52" i="3" s="1"/>
  <c r="M60" i="3"/>
  <c r="I68" i="3"/>
  <c r="L59" i="3"/>
  <c r="M66" i="3"/>
  <c r="I69" i="3"/>
  <c r="N69" i="3" s="1"/>
  <c r="I79" i="3"/>
  <c r="N79" i="3" s="1"/>
  <c r="L82" i="3"/>
  <c r="M82" i="3" s="1"/>
  <c r="N82" i="3" s="1"/>
  <c r="I96" i="3"/>
  <c r="L100" i="3"/>
  <c r="M100" i="3" s="1"/>
  <c r="N100" i="3" s="1"/>
  <c r="I98" i="3"/>
  <c r="N98" i="3" s="1"/>
  <c r="L110" i="3"/>
  <c r="M110" i="3" s="1"/>
  <c r="N110" i="3" s="1"/>
  <c r="L105" i="3"/>
  <c r="M105" i="3" s="1"/>
  <c r="N105" i="3" s="1"/>
  <c r="M112" i="3"/>
  <c r="N112" i="3" s="1"/>
  <c r="M108" i="3"/>
  <c r="I119" i="3"/>
  <c r="I127" i="3"/>
  <c r="N127" i="3" s="1"/>
  <c r="L133" i="3"/>
  <c r="M133" i="3" s="1"/>
  <c r="N133" i="3" s="1"/>
  <c r="I140" i="3"/>
  <c r="L129" i="3"/>
  <c r="M129" i="3" s="1"/>
  <c r="I136" i="3"/>
  <c r="L131" i="3"/>
  <c r="M131" i="3" s="1"/>
  <c r="N131" i="3" s="1"/>
  <c r="L145" i="3"/>
  <c r="M153" i="3"/>
  <c r="I146" i="3"/>
  <c r="L152" i="3"/>
  <c r="M152" i="3" s="1"/>
  <c r="N152" i="3" s="1"/>
  <c r="I157" i="3"/>
  <c r="N157" i="3" s="1"/>
  <c r="L151" i="3"/>
  <c r="L163" i="3"/>
  <c r="M167" i="3"/>
  <c r="N167" i="3" s="1"/>
  <c r="I175" i="3"/>
  <c r="L180" i="3"/>
  <c r="M180" i="3" s="1"/>
  <c r="N180" i="3" s="1"/>
  <c r="M172" i="3"/>
  <c r="N172" i="3" s="1"/>
  <c r="L181" i="3"/>
  <c r="M181" i="3" s="1"/>
  <c r="N181" i="3" s="1"/>
  <c r="L7" i="3"/>
  <c r="I6" i="3"/>
  <c r="M18" i="3"/>
  <c r="I17" i="3"/>
  <c r="M19" i="3"/>
  <c r="M36" i="3"/>
  <c r="I30" i="3"/>
  <c r="M32" i="3"/>
  <c r="N32" i="3" s="1"/>
  <c r="M48" i="3"/>
  <c r="M49" i="3"/>
  <c r="I46" i="3"/>
  <c r="I62" i="3"/>
  <c r="I76" i="3"/>
  <c r="I80" i="3"/>
  <c r="N80" i="3" s="1"/>
  <c r="M96" i="3"/>
  <c r="N96" i="3" s="1"/>
  <c r="I88" i="3"/>
  <c r="I113" i="3"/>
  <c r="I106" i="3"/>
  <c r="I117" i="3"/>
  <c r="M119" i="3"/>
  <c r="I135" i="3"/>
  <c r="I132" i="3"/>
  <c r="I141" i="3"/>
  <c r="I147" i="3"/>
  <c r="N147" i="3" s="1"/>
  <c r="I164" i="3"/>
  <c r="M175" i="3"/>
  <c r="I166" i="3"/>
  <c r="I177" i="3"/>
  <c r="N177" i="3" s="1"/>
  <c r="I159" i="3"/>
  <c r="I5" i="3"/>
  <c r="M11" i="3"/>
  <c r="I12" i="3"/>
  <c r="I23" i="3"/>
  <c r="I31" i="3"/>
  <c r="I37" i="3"/>
  <c r="I43" i="3"/>
  <c r="I44" i="3"/>
  <c r="I63" i="3"/>
  <c r="N63" i="3" s="1"/>
  <c r="M62" i="3"/>
  <c r="I67" i="3"/>
  <c r="I74" i="3"/>
  <c r="M76" i="3"/>
  <c r="I75" i="3"/>
  <c r="M80" i="3"/>
  <c r="I91" i="3"/>
  <c r="N91" i="3" s="1"/>
  <c r="I95" i="3"/>
  <c r="N95" i="3" s="1"/>
  <c r="I114" i="3"/>
  <c r="M117" i="3"/>
  <c r="N117" i="3" s="1"/>
  <c r="I111" i="3"/>
  <c r="I124" i="3"/>
  <c r="M135" i="3"/>
  <c r="N135" i="3" s="1"/>
  <c r="M132" i="3"/>
  <c r="I144" i="3"/>
  <c r="N144" i="3" s="1"/>
  <c r="M147" i="3"/>
  <c r="I155" i="3"/>
  <c r="N155" i="3" s="1"/>
  <c r="I154" i="3"/>
  <c r="N154" i="3" s="1"/>
  <c r="I161" i="3"/>
  <c r="N161" i="3" s="1"/>
  <c r="M164" i="3"/>
  <c r="I170" i="3"/>
  <c r="N170" i="3" s="1"/>
  <c r="I174" i="3"/>
  <c r="N174" i="3" s="1"/>
  <c r="I179" i="3"/>
  <c r="L11" i="3"/>
  <c r="M12" i="3"/>
  <c r="I22" i="3"/>
  <c r="N22" i="3" s="1"/>
  <c r="M23" i="3"/>
  <c r="I26" i="3"/>
  <c r="N26" i="3" s="1"/>
  <c r="M31" i="3"/>
  <c r="I39" i="3"/>
  <c r="N39" i="3" s="1"/>
  <c r="M37" i="3"/>
  <c r="I40" i="3"/>
  <c r="N40" i="3" s="1"/>
  <c r="M43" i="3"/>
  <c r="N43" i="3" s="1"/>
  <c r="I50" i="3"/>
  <c r="N50" i="3" s="1"/>
  <c r="M44" i="3"/>
  <c r="I51" i="3"/>
  <c r="M63" i="3"/>
  <c r="I57" i="3"/>
  <c r="M67" i="3"/>
  <c r="M74" i="3"/>
  <c r="N74" i="3" s="1"/>
  <c r="I81" i="3"/>
  <c r="M75" i="3"/>
  <c r="I99" i="3"/>
  <c r="N99" i="3" s="1"/>
  <c r="I107" i="3"/>
  <c r="N107" i="3" s="1"/>
  <c r="I104" i="3"/>
  <c r="M114" i="3"/>
  <c r="M111" i="3"/>
  <c r="N111" i="3" s="1"/>
  <c r="I120" i="3"/>
  <c r="N120" i="3" s="1"/>
  <c r="M124" i="3"/>
  <c r="N124" i="3" s="1"/>
  <c r="I130" i="3"/>
  <c r="N130" i="3" s="1"/>
  <c r="I126" i="3"/>
  <c r="I137" i="3"/>
  <c r="N137" i="3" s="1"/>
  <c r="I149" i="3"/>
  <c r="I148" i="3"/>
  <c r="N148" i="3" s="1"/>
  <c r="I178" i="3"/>
  <c r="N178" i="3" s="1"/>
  <c r="I9" i="3"/>
  <c r="M22" i="3"/>
  <c r="I20" i="3"/>
  <c r="N20" i="3" s="1"/>
  <c r="M39" i="3"/>
  <c r="I33" i="3"/>
  <c r="M51" i="3"/>
  <c r="I54" i="3"/>
  <c r="I58" i="3"/>
  <c r="N58" i="3" s="1"/>
  <c r="I64" i="3"/>
  <c r="M81" i="3"/>
  <c r="I84" i="3"/>
  <c r="N84" i="3" s="1"/>
  <c r="I83" i="3"/>
  <c r="I87" i="3"/>
  <c r="N87" i="3" s="1"/>
  <c r="I90" i="3"/>
  <c r="I92" i="3"/>
  <c r="I115" i="3"/>
  <c r="I109" i="3"/>
  <c r="N109" i="3" s="1"/>
  <c r="L101" i="3"/>
  <c r="I138" i="3"/>
  <c r="N138" i="3" s="1"/>
  <c r="I134" i="3"/>
  <c r="N134" i="3" s="1"/>
  <c r="I139" i="3"/>
  <c r="I150" i="3"/>
  <c r="I165" i="3"/>
  <c r="N165" i="3" s="1"/>
  <c r="I169" i="3"/>
  <c r="I171" i="3"/>
  <c r="I128" i="3"/>
  <c r="M9" i="3"/>
  <c r="M20" i="3"/>
  <c r="M33" i="3"/>
  <c r="M54" i="3"/>
  <c r="L71" i="3"/>
  <c r="M71" i="3" s="1"/>
  <c r="N71" i="3" s="1"/>
  <c r="M84" i="3"/>
  <c r="M83" i="3"/>
  <c r="N83" i="3" s="1"/>
  <c r="M90" i="3"/>
  <c r="N90" i="3" s="1"/>
  <c r="M101" i="3"/>
  <c r="N101" i="3" s="1"/>
  <c r="M165" i="3"/>
  <c r="M169" i="3"/>
  <c r="M128" i="3"/>
  <c r="M13" i="3"/>
  <c r="M24" i="3"/>
  <c r="N24" i="3" s="1"/>
  <c r="M34" i="3"/>
  <c r="N34" i="3" s="1"/>
  <c r="M38" i="3"/>
  <c r="N38" i="3" s="1"/>
  <c r="M45" i="3"/>
  <c r="N45" i="3" s="1"/>
  <c r="M61" i="3"/>
  <c r="M77" i="3"/>
  <c r="M156" i="3"/>
  <c r="N156" i="3" s="1"/>
  <c r="M173" i="3"/>
  <c r="N173" i="3" s="1"/>
  <c r="M171" i="3"/>
  <c r="M166" i="3"/>
  <c r="N166" i="3" s="1"/>
  <c r="M163" i="3"/>
  <c r="N163" i="3" s="1"/>
  <c r="M146" i="3"/>
  <c r="N150" i="3"/>
  <c r="N145" i="3"/>
  <c r="M143" i="3"/>
  <c r="N143" i="3" s="1"/>
  <c r="N129" i="3"/>
  <c r="M126" i="3"/>
  <c r="N126" i="3" s="1"/>
  <c r="M123" i="3"/>
  <c r="N123" i="3" s="1"/>
  <c r="N175" i="3"/>
  <c r="N171" i="3"/>
  <c r="N164" i="3"/>
  <c r="N169" i="3"/>
  <c r="N159" i="3"/>
  <c r="N125" i="3"/>
  <c r="N141" i="3"/>
  <c r="N136" i="3"/>
  <c r="M106" i="3"/>
  <c r="N106" i="3" s="1"/>
  <c r="N113" i="3"/>
  <c r="M103" i="3"/>
  <c r="N103" i="3" s="1"/>
  <c r="M92" i="3"/>
  <c r="N92" i="3" s="1"/>
  <c r="N97" i="3"/>
  <c r="M88" i="3"/>
  <c r="N76" i="3"/>
  <c r="N61" i="3"/>
  <c r="N64" i="3"/>
  <c r="N62" i="3"/>
  <c r="M57" i="3"/>
  <c r="M46" i="3"/>
  <c r="N46" i="3" s="1"/>
  <c r="N44" i="3"/>
  <c r="N33" i="3"/>
  <c r="M30" i="3"/>
  <c r="N30" i="3" s="1"/>
  <c r="M16" i="3"/>
  <c r="N114" i="3" l="1"/>
  <c r="N132" i="3"/>
  <c r="N128" i="3"/>
  <c r="N54" i="3"/>
  <c r="N75" i="3"/>
  <c r="N37" i="3"/>
  <c r="N66" i="3"/>
  <c r="N18" i="3"/>
  <c r="N119" i="3"/>
  <c r="N88" i="3"/>
  <c r="N51" i="3"/>
  <c r="N31" i="3"/>
  <c r="N49" i="3"/>
  <c r="N57" i="3"/>
  <c r="N23" i="3"/>
  <c r="N35" i="3"/>
  <c r="N53" i="3"/>
  <c r="N81" i="3"/>
  <c r="N153" i="3"/>
  <c r="N146" i="3"/>
  <c r="N67" i="3"/>
  <c r="N19" i="3"/>
  <c r="N60" i="3"/>
  <c r="C12" i="4"/>
  <c r="C11" i="4"/>
  <c r="C10" i="4"/>
  <c r="C6" i="4"/>
  <c r="C5" i="4"/>
  <c r="C4" i="4"/>
  <c r="C3" i="4"/>
  <c r="I14" i="5" l="1"/>
  <c r="N10" i="5" l="1"/>
  <c r="J10" i="5" l="1"/>
  <c r="AA4" i="5" l="1"/>
  <c r="AB5" i="5"/>
  <c r="Z5" i="5"/>
  <c r="Y5" i="5"/>
  <c r="X5" i="5"/>
  <c r="W5" i="5"/>
  <c r="V5" i="5"/>
  <c r="U5" i="5"/>
  <c r="AA7" i="5"/>
  <c r="AA6" i="5"/>
  <c r="AA5" i="5" s="1"/>
  <c r="AA8" i="5"/>
  <c r="I41" i="3" l="1"/>
  <c r="E184" i="3" s="1"/>
  <c r="E185" i="3" s="1"/>
  <c r="P5" i="5"/>
  <c r="P4" i="5"/>
  <c r="N5" i="5"/>
  <c r="N4" i="5"/>
  <c r="L5" i="5"/>
  <c r="L4" i="5"/>
  <c r="J5" i="5"/>
  <c r="J4" i="5"/>
  <c r="I55" i="3" l="1"/>
  <c r="F184" i="3" s="1"/>
  <c r="F185" i="3" s="1"/>
  <c r="I70" i="3" l="1"/>
  <c r="G184" i="3" s="1"/>
  <c r="G185" i="3" s="1"/>
  <c r="I27" i="3"/>
  <c r="D184" i="3" s="1"/>
  <c r="D185" i="3" s="1"/>
  <c r="I15" i="3"/>
  <c r="C184" i="3" s="1"/>
  <c r="C185" i="3" s="1"/>
  <c r="M6" i="3"/>
  <c r="N6" i="3" s="1"/>
  <c r="N10" i="3"/>
  <c r="N7" i="3"/>
  <c r="N11" i="3"/>
  <c r="N16" i="3"/>
  <c r="N14" i="3"/>
  <c r="N17" i="3"/>
  <c r="M5" i="3"/>
  <c r="N5" i="3" s="1"/>
  <c r="M8" i="3"/>
  <c r="N8" i="3" s="1"/>
  <c r="N9" i="3"/>
  <c r="I85" i="3" l="1"/>
  <c r="H184" i="3" s="1"/>
  <c r="H185" i="3" s="1"/>
  <c r="I102" i="3" l="1"/>
  <c r="I184" i="3" s="1"/>
  <c r="I185" i="3" s="1"/>
  <c r="I122" i="3" l="1"/>
  <c r="J184" i="3" s="1"/>
  <c r="J185" i="3" s="1"/>
  <c r="L185" i="3" l="1"/>
  <c r="I142" i="3"/>
  <c r="K184" i="3" s="1"/>
  <c r="K18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C4" authorId="0" shapeId="0" xr:uid="{00000000-0006-0000-0200-000001000000}">
      <text>
        <r>
          <rPr>
            <sz val="9"/>
            <color indexed="81"/>
            <rFont val="Tahoma"/>
            <family val="2"/>
          </rPr>
          <t>Debería llenarse de forma automática</t>
        </r>
      </text>
    </comment>
    <comment ref="E4" authorId="0" shapeId="0" xr:uid="{00000000-0006-0000-0200-000002000000}">
      <text>
        <r>
          <rPr>
            <sz val="9"/>
            <color indexed="81"/>
            <rFont val="Tahoma"/>
            <family val="2"/>
          </rPr>
          <t>Debería lsalir de forma automática luego de haberse seleccionado el tipo de cocina.</t>
        </r>
      </text>
    </comment>
  </commentList>
</comments>
</file>

<file path=xl/sharedStrings.xml><?xml version="1.0" encoding="utf-8"?>
<sst xmlns="http://schemas.openxmlformats.org/spreadsheetml/2006/main" count="774" uniqueCount="185">
  <si>
    <t xml:space="preserve">2.1. </t>
  </si>
  <si>
    <t>Medida de Cocción limpia (ámbito rural)</t>
  </si>
  <si>
    <t>Medida</t>
  </si>
  <si>
    <t>Finalidad</t>
  </si>
  <si>
    <t>Indicadores</t>
  </si>
  <si>
    <t>Fuente (s)</t>
  </si>
  <si>
    <t>Cocción limpia</t>
  </si>
  <si>
    <r>
      <t xml:space="preserve">Se enfoca en la reducción de las emisiones de gases de efecto invernadero (GEI) generadas por la cocción y calentamiento de alimentos a través del uso de cocinas o tecnologías convencionales (fogón abierto) poco eficientes en el ámbito rural. Incluye: </t>
    </r>
    <r>
      <rPr>
        <b/>
        <sz val="11"/>
        <color theme="1"/>
        <rFont val="Calibri"/>
        <family val="2"/>
        <scheme val="minor"/>
      </rPr>
      <t>cocinas mejoradas y a gas licuado de petróleo (GLP).</t>
    </r>
  </si>
  <si>
    <t>Número de cocinas, combustible por cocina, vales GLP, biomasa no renovable</t>
  </si>
  <si>
    <t>FONCODES, FISE</t>
  </si>
  <si>
    <t>Implementación y sostenibilidad de tecnologías de cocción limpia (cocinas mejoradas y cocinas a gas licuado de petróleos) en zonas rurales, reemplazando aquellas cocinas o tecnologías convencionales (fogón abierto) poco eficientes en el ámbito rural, con lo cual se reducirá los consumos de combustibles empleados en cocinas tradicionales, tales como leña y carbón vegetal, reduciendo así emisiones de gases de efecto invernadero (GEI) y los efectos nocivos a la salud asociados a las emisiones gaseosas y del material particulado restante de la combustión.</t>
  </si>
  <si>
    <r>
      <t>Metodología</t>
    </r>
    <r>
      <rPr>
        <sz val="12"/>
        <color theme="1"/>
        <rFont val="Eras Medium ITC"/>
        <family val="2"/>
      </rPr>
      <t xml:space="preserve"> (Fogon-Mejorada)</t>
    </r>
  </si>
  <si>
    <t>Ecuación 1</t>
  </si>
  <si>
    <t>Donde:</t>
  </si>
  <si>
    <r>
      <t>Emisiones para la Línea de Base b durante el año "y" en 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</t>
    </r>
  </si>
  <si>
    <t>Cantidad de combustible consumido en la Línea de Base b durante un año "y" (t)</t>
  </si>
  <si>
    <r>
      <t>fNRB</t>
    </r>
    <r>
      <rPr>
        <vertAlign val="subscript"/>
        <sz val="11"/>
        <color theme="1"/>
        <rFont val="Calibri"/>
        <family val="2"/>
        <scheme val="minor"/>
      </rPr>
      <t>,y</t>
    </r>
  </si>
  <si>
    <t>Fracción de biomasa no renovable usada durante un año "y"</t>
  </si>
  <si>
    <r>
      <t>NCV</t>
    </r>
    <r>
      <rPr>
        <vertAlign val="subscript"/>
        <sz val="11"/>
        <color theme="1"/>
        <rFont val="Calibri"/>
        <family val="2"/>
        <scheme val="minor"/>
      </rPr>
      <t>b,fuel</t>
    </r>
  </si>
  <si>
    <t>Valor Calorífico Neto del combustible (valor predeterminado del IPCC para madera: 0.015TJ/t</t>
  </si>
  <si>
    <r>
      <t>BC</t>
    </r>
    <r>
      <rPr>
        <vertAlign val="subscript"/>
        <sz val="11"/>
        <color theme="1"/>
        <rFont val="Calibri"/>
        <family val="2"/>
        <scheme val="minor"/>
      </rPr>
      <t>b,y</t>
    </r>
  </si>
  <si>
    <t>PROVEEDORES</t>
  </si>
  <si>
    <t>Diseño detallado</t>
  </si>
  <si>
    <t>Programación Tentativa Sectorial</t>
  </si>
  <si>
    <t>1. MIDIS-FONCODES
2. OSINERGMIN-FISE</t>
  </si>
  <si>
    <r>
      <t>3. Consultoría/MICROSOL (NRB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</si>
  <si>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t>3. Consultoría</t>
  </si>
  <si>
    <t>Etapa</t>
  </si>
  <si>
    <t>Información</t>
  </si>
  <si>
    <t>Fuente</t>
  </si>
  <si>
    <t>Responsable</t>
  </si>
  <si>
    <t>Frecuencia</t>
  </si>
  <si>
    <t>¿Requiere acuerdo?</t>
  </si>
  <si>
    <t>M</t>
  </si>
  <si>
    <t>Tecnologías de cocción limpia. Instaladas en programas financiados por el estado</t>
  </si>
  <si>
    <t>FONCODES Y OSINERGMIN</t>
  </si>
  <si>
    <t>DGEE</t>
  </si>
  <si>
    <t>Anual</t>
  </si>
  <si>
    <t>Vales de GLP canjeados por el financiamiento del programa FISE.</t>
  </si>
  <si>
    <t>OSINERGMIN</t>
  </si>
  <si>
    <t>Fracción de Biomasa No Renovable</t>
  </si>
  <si>
    <t>Consultoría</t>
  </si>
  <si>
    <t>06 años</t>
  </si>
  <si>
    <t>R</t>
  </si>
  <si>
    <t xml:space="preserve">DGEE </t>
  </si>
  <si>
    <t>No</t>
  </si>
  <si>
    <t>V</t>
  </si>
  <si>
    <t>Reportes generados por DGEE, procedimientos de medición, otra información de soporte</t>
  </si>
  <si>
    <t>Auditor externo</t>
  </si>
  <si>
    <t xml:space="preserve">No </t>
  </si>
  <si>
    <t>Si</t>
  </si>
  <si>
    <t>Efecto del reemplazo de cocinas tradicionales (fogon) por otras mejoradas</t>
  </si>
  <si>
    <t>DGEE en base a información de FONCODES y OSINERGMIN</t>
  </si>
  <si>
    <t>Bienal</t>
  </si>
  <si>
    <t>Cada 2 años o según lo demanden algunas autoridades o donantes</t>
  </si>
  <si>
    <t>BaU</t>
  </si>
  <si>
    <t>Mitigación</t>
  </si>
  <si>
    <t>Tipo</t>
  </si>
  <si>
    <t>Cantidad</t>
  </si>
  <si>
    <t>Año</t>
  </si>
  <si>
    <t>Número de unidades de este tipo, clase y descripción.</t>
  </si>
  <si>
    <t>Año al que corresponde el registro.</t>
  </si>
  <si>
    <t>Inkawasi 3 Hornillas</t>
  </si>
  <si>
    <t>Caralia</t>
  </si>
  <si>
    <t>Tres piedras</t>
  </si>
  <si>
    <r>
      <t>C</t>
    </r>
    <r>
      <rPr>
        <b/>
        <sz val="11"/>
        <rFont val="Calibri"/>
        <family val="2"/>
        <scheme val="minor"/>
      </rPr>
      <t xml:space="preserve">onsumo
</t>
    </r>
    <r>
      <rPr>
        <sz val="11"/>
        <rFont val="Arial"/>
        <family val="2"/>
      </rPr>
      <t>(t leña/SA.año)</t>
    </r>
  </si>
  <si>
    <t>Fracción de Biomasa no Renovable (fNRB)</t>
  </si>
  <si>
    <t>Methodological tool: Calculation of the fraction of non-renewable biomass (Version 02.0)</t>
  </si>
  <si>
    <t>Combustible</t>
  </si>
  <si>
    <t>Poder calorífico</t>
  </si>
  <si>
    <t>Factor de emisión</t>
  </si>
  <si>
    <t>IPCC</t>
  </si>
  <si>
    <t>Unidad</t>
  </si>
  <si>
    <t>Estudio</t>
  </si>
  <si>
    <t>Biomasa (Madera)</t>
  </si>
  <si>
    <t>TJ/kg</t>
  </si>
  <si>
    <t>GLP</t>
  </si>
  <si>
    <r>
      <t xml:space="preserve">Consumo
</t>
    </r>
    <r>
      <rPr>
        <sz val="11"/>
        <color theme="0"/>
        <rFont val="Arial"/>
        <family val="2"/>
      </rPr>
      <t>(t leña/SA.año)</t>
    </r>
  </si>
  <si>
    <t>Miembros familia</t>
  </si>
  <si>
    <t>Especificación de la fuente de cocción</t>
  </si>
  <si>
    <t>Nombre de la tecnología de cocción</t>
  </si>
  <si>
    <r>
      <t>Metodología</t>
    </r>
    <r>
      <rPr>
        <sz val="12"/>
        <color theme="1"/>
        <rFont val="Eras Medium ITC"/>
        <family val="2"/>
      </rPr>
      <t xml:space="preserve"> (Fogon-GLP)</t>
    </r>
  </si>
  <si>
    <t>Ecuación 2</t>
  </si>
  <si>
    <t>ER</t>
  </si>
  <si>
    <r>
      <t>EF</t>
    </r>
    <r>
      <rPr>
        <vertAlign val="subscript"/>
        <sz val="11"/>
        <color theme="1"/>
        <rFont val="Calibri"/>
        <family val="2"/>
        <scheme val="minor"/>
      </rPr>
      <t>b,fuel,N2O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</si>
  <si>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b,leña,CO2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</si>
  <si>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b,leña,CH4</t>
    </r>
  </si>
  <si>
    <r>
      <t>Factor de emisión de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de la leña.</t>
    </r>
  </si>
  <si>
    <t xml:space="preserve">Factor de emisión de metano (CH4) de la leña. </t>
  </si>
  <si>
    <t xml:space="preserve">Factor de emisión de óxido nitroso (N2O) de la leña. </t>
  </si>
  <si>
    <r>
      <t>PCG</t>
    </r>
    <r>
      <rPr>
        <vertAlign val="subscript"/>
        <sz val="11"/>
        <color theme="1"/>
        <rFont val="Calibri"/>
        <family val="2"/>
        <scheme val="minor"/>
      </rPr>
      <t>CH4</t>
    </r>
  </si>
  <si>
    <r>
      <t>PCG</t>
    </r>
    <r>
      <rPr>
        <vertAlign val="subscript"/>
        <sz val="11"/>
        <color theme="1"/>
        <rFont val="Calibri"/>
        <family val="2"/>
        <scheme val="minor"/>
      </rPr>
      <t>N2O</t>
    </r>
  </si>
  <si>
    <t>Potencial de Calentamiento Global del Metano</t>
  </si>
  <si>
    <t>Potencial de Calentamiento Global del Óxido Nitroso</t>
  </si>
  <si>
    <t xml:space="preserve">Cantidad de combustible consumido en Proyecto p durante un año "y" </t>
  </si>
  <si>
    <r>
      <t>PC</t>
    </r>
    <r>
      <rPr>
        <vertAlign val="subscript"/>
        <sz val="11"/>
        <color theme="1"/>
        <rFont val="Calibri"/>
        <family val="2"/>
        <scheme val="minor"/>
      </rPr>
      <t>p,y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</si>
  <si>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b,leña,N2O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</si>
  <si>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b,GLP,CO2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</si>
  <si>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b,GLP,CH4</t>
    </r>
  </si>
  <si>
    <t>TJ/t</t>
  </si>
  <si>
    <r>
      <t>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/TJ</t>
    </r>
  </si>
  <si>
    <r>
      <t>tCH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/TJ</t>
    </r>
  </si>
  <si>
    <r>
      <t>tN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O/TJ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</si>
  <si>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b,leña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</si>
  <si>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b,GLP</t>
    </r>
  </si>
  <si>
    <t>Valor Calorífico Neto de la leña</t>
  </si>
  <si>
    <t>Valor Calorífico Neto del GLP</t>
  </si>
  <si>
    <t>Potencial de Calentamiento Global</t>
  </si>
  <si>
    <t>GEI</t>
  </si>
  <si>
    <t>AR2</t>
  </si>
  <si>
    <t>AR4</t>
  </si>
  <si>
    <t>AR5</t>
  </si>
  <si>
    <r>
      <t>CO</t>
    </r>
    <r>
      <rPr>
        <vertAlign val="subscript"/>
        <sz val="10"/>
        <rFont val="Arial"/>
        <family val="2"/>
      </rPr>
      <t>2</t>
    </r>
  </si>
  <si>
    <r>
      <t>CH</t>
    </r>
    <r>
      <rPr>
        <vertAlign val="subscript"/>
        <sz val="10"/>
        <rFont val="Arial"/>
        <family val="2"/>
      </rPr>
      <t>4</t>
    </r>
  </si>
  <si>
    <r>
      <t>N</t>
    </r>
    <r>
      <rPr>
        <vertAlign val="subscript"/>
        <sz val="10"/>
        <rFont val="Arial"/>
        <family val="2"/>
      </rPr>
      <t>2</t>
    </r>
    <r>
      <rPr>
        <sz val="11"/>
        <rFont val="Calibri"/>
        <family val="2"/>
        <scheme val="minor"/>
      </rPr>
      <t>O</t>
    </r>
  </si>
  <si>
    <t>Fuente: Global Warming Potential Values - GHG Protocol</t>
  </si>
  <si>
    <t>Ratio (tradicional/GLP)</t>
  </si>
  <si>
    <r>
      <t xml:space="preserve">ER = </t>
    </r>
    <r>
      <rPr>
        <sz val="16"/>
        <color theme="1"/>
        <rFont val="Calibri"/>
        <family val="2"/>
      </rPr>
      <t>{</t>
    </r>
    <r>
      <rPr>
        <sz val="16"/>
        <color theme="1"/>
        <rFont val="Calibri"/>
        <family val="2"/>
        <scheme val="minor"/>
      </rPr>
      <t>BC</t>
    </r>
    <r>
      <rPr>
        <vertAlign val="subscript"/>
        <sz val="16"/>
        <color theme="1"/>
        <rFont val="Calibri"/>
        <family val="2"/>
        <scheme val="minor"/>
      </rPr>
      <t>b,y</t>
    </r>
    <r>
      <rPr>
        <sz val="16"/>
        <color theme="1"/>
        <rFont val="Calibri"/>
        <family val="2"/>
        <scheme val="minor"/>
      </rPr>
      <t xml:space="preserve"> ∙ [(fNRB</t>
    </r>
    <r>
      <rPr>
        <vertAlign val="subscript"/>
        <sz val="16"/>
        <color theme="1"/>
        <rFont val="Calibri"/>
        <family val="2"/>
        <scheme val="minor"/>
      </rPr>
      <t>,y</t>
    </r>
    <r>
      <rPr>
        <sz val="16"/>
        <color theme="1"/>
        <rFont val="Calibri"/>
        <family val="2"/>
        <scheme val="minor"/>
      </rPr>
      <t xml:space="preserve"> ∙ EF</t>
    </r>
    <r>
      <rPr>
        <vertAlign val="subscript"/>
        <sz val="16"/>
        <color theme="1"/>
        <rFont val="Calibri"/>
        <family val="2"/>
        <scheme val="minor"/>
      </rPr>
      <t>b,leña,CO2</t>
    </r>
    <r>
      <rPr>
        <sz val="16"/>
        <color theme="1"/>
        <rFont val="Calibri"/>
        <family val="2"/>
        <scheme val="minor"/>
      </rPr>
      <t>) + EF</t>
    </r>
    <r>
      <rPr>
        <vertAlign val="subscript"/>
        <sz val="16"/>
        <color theme="1"/>
        <rFont val="Calibri"/>
        <family val="2"/>
        <scheme val="minor"/>
      </rPr>
      <t>b,leña,CH4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CH4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b,leña,N2O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] ∙ NCV</t>
    </r>
    <r>
      <rPr>
        <vertAlign val="subscript"/>
        <sz val="16"/>
        <color theme="1"/>
        <rFont val="Calibri"/>
        <family val="2"/>
        <scheme val="minor"/>
      </rPr>
      <t>b,leña</t>
    </r>
    <r>
      <rPr>
        <sz val="16"/>
        <color theme="1"/>
        <rFont val="Calibri"/>
        <family val="2"/>
        <scheme val="minor"/>
      </rPr>
      <t>} - {[PC</t>
    </r>
    <r>
      <rPr>
        <vertAlign val="subscript"/>
        <sz val="16"/>
        <color theme="1"/>
        <rFont val="Calibri"/>
        <family val="2"/>
        <scheme val="minor"/>
      </rPr>
      <t>p,y</t>
    </r>
    <r>
      <rPr>
        <sz val="16"/>
        <color theme="1"/>
        <rFont val="Calibri"/>
        <family val="2"/>
        <scheme val="minor"/>
      </rPr>
      <t xml:space="preserve"> ∙  (EF</t>
    </r>
    <r>
      <rPr>
        <vertAlign val="subscript"/>
        <sz val="16"/>
        <color theme="1"/>
        <rFont val="Calibri"/>
        <family val="2"/>
        <scheme val="minor"/>
      </rPr>
      <t>b,GLP,CO2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b,GLP,CH4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 xml:space="preserve">CH4 </t>
    </r>
    <r>
      <rPr>
        <sz val="16"/>
        <color theme="1"/>
        <rFont val="Calibri"/>
        <family val="2"/>
        <scheme val="minor"/>
      </rPr>
      <t>+ EF</t>
    </r>
    <r>
      <rPr>
        <vertAlign val="subscript"/>
        <sz val="16"/>
        <color theme="1"/>
        <rFont val="Calibri"/>
        <family val="2"/>
        <scheme val="minor"/>
      </rPr>
      <t>b,GLP,N2O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)]∙ NCV</t>
    </r>
    <r>
      <rPr>
        <vertAlign val="subscript"/>
        <sz val="16"/>
        <color theme="1"/>
        <rFont val="Calibri"/>
        <family val="2"/>
        <scheme val="minor"/>
      </rPr>
      <t>b,GLP</t>
    </r>
    <r>
      <rPr>
        <sz val="16"/>
        <color theme="1"/>
        <rFont val="Calibri"/>
        <family val="2"/>
        <scheme val="minor"/>
      </rPr>
      <t>} ∙ CI</t>
    </r>
  </si>
  <si>
    <t>CI</t>
  </si>
  <si>
    <t>Cocinas instaladas</t>
  </si>
  <si>
    <t>Costa</t>
  </si>
  <si>
    <t>Sierra</t>
  </si>
  <si>
    <t>Selva</t>
  </si>
  <si>
    <t>Región</t>
  </si>
  <si>
    <t>Conservador</t>
  </si>
  <si>
    <t>Variable propia de cada tipo de cocina</t>
  </si>
  <si>
    <t>Industrias de la manufactura y construcción: 1A4b (Residencial)</t>
  </si>
  <si>
    <t>Gas/contaminante</t>
  </si>
  <si>
    <r>
      <t xml:space="preserve">CO
</t>
    </r>
    <r>
      <rPr>
        <sz val="11"/>
        <color theme="1"/>
        <rFont val="Calibri"/>
        <family val="2"/>
        <scheme val="minor"/>
      </rPr>
      <t>(g/GJ)</t>
    </r>
  </si>
  <si>
    <r>
      <t>NOx</t>
    </r>
    <r>
      <rPr>
        <b/>
        <vertAlign val="subscript"/>
        <sz val="10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>(g/GJ)</t>
    </r>
  </si>
  <si>
    <r>
      <t xml:space="preserve">COVDM
</t>
    </r>
    <r>
      <rPr>
        <sz val="11"/>
        <color theme="1"/>
        <rFont val="Calibri"/>
        <family val="2"/>
        <scheme val="minor"/>
      </rPr>
      <t>(g/GJ)</t>
    </r>
  </si>
  <si>
    <r>
      <t>SO</t>
    </r>
    <r>
      <rPr>
        <b/>
        <vertAlign val="subscript"/>
        <sz val="10"/>
        <color theme="1"/>
        <rFont val="Arial"/>
        <family val="2"/>
      </rPr>
      <t xml:space="preserve">X
</t>
    </r>
    <r>
      <rPr>
        <sz val="11"/>
        <color theme="1"/>
        <rFont val="Calibri"/>
        <family val="2"/>
        <scheme val="minor"/>
      </rPr>
      <t>(g/GJ)</t>
    </r>
  </si>
  <si>
    <r>
      <t>PM</t>
    </r>
    <r>
      <rPr>
        <b/>
        <vertAlign val="subscript"/>
        <sz val="10"/>
        <color theme="1"/>
        <rFont val="Arial"/>
        <family val="2"/>
      </rPr>
      <t xml:space="preserve">10
</t>
    </r>
    <r>
      <rPr>
        <sz val="11"/>
        <color theme="1"/>
        <rFont val="Calibri"/>
        <family val="2"/>
        <scheme val="minor"/>
      </rPr>
      <t>(g/GJ)</t>
    </r>
  </si>
  <si>
    <r>
      <t>PM</t>
    </r>
    <r>
      <rPr>
        <b/>
        <vertAlign val="subscript"/>
        <sz val="10"/>
        <color theme="1"/>
        <rFont val="Arial"/>
        <family val="2"/>
      </rPr>
      <t xml:space="preserve">2.5
</t>
    </r>
    <r>
      <rPr>
        <sz val="11"/>
        <color theme="1"/>
        <rFont val="Calibri"/>
        <family val="2"/>
        <scheme val="minor"/>
      </rPr>
      <t>(g/GJ)</t>
    </r>
  </si>
  <si>
    <r>
      <t>BC</t>
    </r>
    <r>
      <rPr>
        <b/>
        <vertAlign val="subscript"/>
        <sz val="10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>(g/GJ)</t>
    </r>
  </si>
  <si>
    <r>
      <t>BC</t>
    </r>
    <r>
      <rPr>
        <b/>
        <vertAlign val="subscript"/>
        <sz val="10"/>
        <rFont val="Arial"/>
        <family val="2"/>
      </rPr>
      <t xml:space="preserve">
</t>
    </r>
    <r>
      <rPr>
        <sz val="10"/>
        <rFont val="Arial"/>
        <family val="2"/>
      </rPr>
      <t>(%PM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)</t>
    </r>
  </si>
  <si>
    <t xml:space="preserve">EMEP/EEA air pollutant emission inventory guidebook 2016 1 - NFR 1.A.4.a.i, 1.A.4.b.i, 1.A.4.c.i, 1.A.5.a Small combustion
</t>
  </si>
  <si>
    <t>Table 3.3 Tier 1 emission factors for NFR source category 1.A.4.b, using hard coal and brown
coal</t>
  </si>
  <si>
    <t>Gas natural - Gaseous fuels</t>
  </si>
  <si>
    <t>Table 3.4 Tier 1 emission factors for NFR source category 1.A.4.b, using gaseous fuels</t>
  </si>
  <si>
    <t>Diesel - Gas oil</t>
  </si>
  <si>
    <t>Table 3.5 Tier 1 emission factors for NFR source category 1.A.4.b, using liquid fuels</t>
  </si>
  <si>
    <t>Gas Licuado de Petróleo</t>
  </si>
  <si>
    <t>Biomass - Solid biomass</t>
  </si>
  <si>
    <t>Table 3.6 Tier 1 emission factors for NFR source category 1.A.4.b, using biomass</t>
  </si>
  <si>
    <t>Carbón</t>
  </si>
  <si>
    <r>
      <t>Emisiones reducidas durante el año "y" en 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</t>
    </r>
  </si>
  <si>
    <r>
      <t>ER = {(BC</t>
    </r>
    <r>
      <rPr>
        <vertAlign val="subscript"/>
        <sz val="16"/>
        <color theme="1"/>
        <rFont val="Calibri"/>
        <family val="2"/>
        <scheme val="minor"/>
      </rPr>
      <t xml:space="preserve">b,y </t>
    </r>
    <r>
      <rPr>
        <sz val="16"/>
        <color theme="1"/>
        <rFont val="Calibri"/>
        <family val="2"/>
        <scheme val="minor"/>
      </rPr>
      <t>- PC</t>
    </r>
    <r>
      <rPr>
        <vertAlign val="subscript"/>
        <sz val="16"/>
        <color theme="1"/>
        <rFont val="Calibri"/>
        <family val="2"/>
        <scheme val="minor"/>
      </rPr>
      <t>p,y</t>
    </r>
    <r>
      <rPr>
        <sz val="16"/>
        <color theme="1"/>
        <rFont val="Calibri"/>
        <family val="2"/>
        <scheme val="minor"/>
      </rPr>
      <t>) ∙ [(fNRB</t>
    </r>
    <r>
      <rPr>
        <vertAlign val="subscript"/>
        <sz val="16"/>
        <color theme="1"/>
        <rFont val="Calibri"/>
        <family val="2"/>
        <scheme val="minor"/>
      </rPr>
      <t>,y</t>
    </r>
    <r>
      <rPr>
        <sz val="16"/>
        <color theme="1"/>
        <rFont val="Calibri"/>
        <family val="2"/>
        <scheme val="minor"/>
      </rPr>
      <t xml:space="preserve"> ∙ EF</t>
    </r>
    <r>
      <rPr>
        <vertAlign val="subscript"/>
        <sz val="16"/>
        <color theme="1"/>
        <rFont val="Calibri"/>
        <family val="2"/>
        <scheme val="minor"/>
      </rPr>
      <t>b,leña,CO2</t>
    </r>
    <r>
      <rPr>
        <sz val="16"/>
        <color theme="1"/>
        <rFont val="Calibri"/>
        <family val="2"/>
        <scheme val="minor"/>
      </rPr>
      <t>) + EF</t>
    </r>
    <r>
      <rPr>
        <vertAlign val="subscript"/>
        <sz val="16"/>
        <color theme="1"/>
        <rFont val="Calibri"/>
        <family val="2"/>
        <scheme val="minor"/>
      </rPr>
      <t>b,leña,CH4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CH4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b,leña,N2O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] ∙ NCV</t>
    </r>
    <r>
      <rPr>
        <vertAlign val="subscript"/>
        <sz val="16"/>
        <color theme="1"/>
        <rFont val="Calibri"/>
        <family val="2"/>
        <scheme val="minor"/>
      </rPr>
      <t>b,leña</t>
    </r>
    <r>
      <rPr>
        <sz val="16"/>
        <color theme="1"/>
        <rFont val="Calibri"/>
        <family val="2"/>
        <scheme val="minor"/>
      </rPr>
      <t>} ∙ CI</t>
    </r>
  </si>
  <si>
    <t>kg/kg</t>
  </si>
  <si>
    <t>Fuente: Directrices IPCC 2006</t>
  </si>
  <si>
    <t>https://www.ghgprotocol.org/sites/default/files/ghgp/Global-Warming-Potential-Values%20%28Feb%2016%202016%29_1.pdf</t>
  </si>
  <si>
    <t>Fuente: Calculos propios</t>
  </si>
  <si>
    <t>Factor de emisión de CO2 de GLP.</t>
  </si>
  <si>
    <t xml:space="preserve">Factor de emisión de metano (CH4) de GLP. </t>
  </si>
  <si>
    <t xml:space="preserve">Factor de emisión de óxido nitroso (N2O) de GLP. </t>
  </si>
  <si>
    <t>https://es.slideshare.net/slides_eoi/alfredo-lopez-mendiburu-acciona</t>
  </si>
  <si>
    <t>Programa</t>
  </si>
  <si>
    <t>Cocina Perú</t>
  </si>
  <si>
    <t>Mi Chacra emprendedora</t>
  </si>
  <si>
    <t xml:space="preserve">NINA </t>
  </si>
  <si>
    <t>HakuWiñay/Noa Jayatay</t>
  </si>
  <si>
    <t>50.000 Cocinas Mejoradas</t>
  </si>
  <si>
    <t>Casita caliente</t>
  </si>
  <si>
    <t>FISE</t>
  </si>
  <si>
    <t>FAS</t>
  </si>
  <si>
    <t>Otro</t>
  </si>
  <si>
    <t>Haku Wiñay (VA)</t>
  </si>
  <si>
    <t xml:space="preserve">Inkawasi Tawa </t>
  </si>
  <si>
    <t xml:space="preserve">Inkawasi Pichqa </t>
  </si>
  <si>
    <t xml:space="preserve">Mejorada Selva </t>
  </si>
  <si>
    <t>Inkawasi Sojta</t>
  </si>
  <si>
    <t>Inkawasi Plancha</t>
  </si>
  <si>
    <t>Inkawasi UK</t>
  </si>
  <si>
    <t>Emisiones de GEI que fueron reducidas</t>
  </si>
  <si>
    <t>Línea base</t>
  </si>
  <si>
    <t>Proyecto</t>
  </si>
  <si>
    <t>GEI reducido</t>
  </si>
  <si>
    <t>QC</t>
  </si>
  <si>
    <t>Total</t>
  </si>
  <si>
    <t>Región donde fueron instaladas, según departamentos, las cocinas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</si>
  <si>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</si>
  <si>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Emisiones de GEI</t>
  </si>
  <si>
    <t>Alto Andina</t>
  </si>
  <si>
    <t>Amaray</t>
  </si>
  <si>
    <t>Econofire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</si>
</sst>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Eras Medium ITC"/>
      <family val="2"/>
    </font>
    <font>
      <sz val="12"/>
      <color theme="1"/>
      <name val="Eras Medium ITC"/>
      <family val="2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0" tint="-0.249977111117893"/>
      <name val="Arial"/>
      <family val="2"/>
    </font>
    <font>
      <b/>
      <vertAlign val="subscript"/>
      <sz val="10"/>
      <color theme="1"/>
      <name val="Arial"/>
      <family val="2"/>
    </font>
    <font>
      <b/>
      <vertAlign val="subscript"/>
      <sz val="10"/>
      <name val="Arial"/>
      <family val="2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9"/>
      <color theme="2" tint="-0.249977111117893"/>
      <name val="Calibri"/>
      <family val="2"/>
      <scheme val="minor"/>
    </font>
    <font>
      <vertAlign val="subscript"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D9EBC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 style="dotted">
        <color rgb="FF003657"/>
      </top>
      <bottom/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/>
      <bottom/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2" fillId="3" borderId="0" xfId="0" applyFont="1" applyFill="1"/>
    <xf numFmtId="0" fontId="4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0" fontId="5" fillId="2" borderId="0" xfId="0" applyFont="1" applyFill="1"/>
    <xf numFmtId="0" fontId="4" fillId="7" borderId="0" xfId="0" applyFont="1" applyFill="1"/>
    <xf numFmtId="0" fontId="2" fillId="7" borderId="0" xfId="0" applyFont="1" applyFill="1"/>
    <xf numFmtId="0" fontId="7" fillId="2" borderId="0" xfId="0" applyFont="1" applyFill="1" applyAlignment="1">
      <alignment vertical="center"/>
    </xf>
    <xf numFmtId="0" fontId="10" fillId="2" borderId="0" xfId="0" applyFont="1" applyFill="1"/>
    <xf numFmtId="0" fontId="0" fillId="2" borderId="0" xfId="0" applyFill="1" applyAlignment="1">
      <alignment horizontal="left" vertical="top"/>
    </xf>
    <xf numFmtId="0" fontId="11" fillId="8" borderId="10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12" borderId="19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20" fillId="2" borderId="0" xfId="0" applyFont="1" applyFill="1"/>
    <xf numFmtId="0" fontId="21" fillId="2" borderId="1" xfId="0" applyFont="1" applyFill="1" applyBorder="1" applyAlignment="1">
      <alignment horizontal="center"/>
    </xf>
    <xf numFmtId="11" fontId="0" fillId="2" borderId="1" xfId="1" applyNumberFormat="1" applyFont="1" applyFill="1" applyBorder="1"/>
    <xf numFmtId="165" fontId="0" fillId="2" borderId="1" xfId="1" applyNumberFormat="1" applyFont="1" applyFill="1" applyBorder="1"/>
    <xf numFmtId="11" fontId="4" fillId="2" borderId="1" xfId="1" applyNumberFormat="1" applyFont="1" applyFill="1" applyBorder="1"/>
    <xf numFmtId="0" fontId="0" fillId="2" borderId="1" xfId="0" applyFont="1" applyFill="1" applyBorder="1" applyAlignment="1">
      <alignment horizontal="justify" vertical="center" wrapText="1"/>
    </xf>
    <xf numFmtId="11" fontId="0" fillId="2" borderId="1" xfId="1" applyNumberFormat="1" applyFont="1" applyFill="1" applyBorder="1" applyAlignment="1">
      <alignment horizontal="center"/>
    </xf>
    <xf numFmtId="0" fontId="23" fillId="4" borderId="1" xfId="3" applyFont="1" applyFill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26" fillId="2" borderId="1" xfId="0" applyFont="1" applyFill="1" applyBorder="1"/>
    <xf numFmtId="0" fontId="0" fillId="5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8" fillId="2" borderId="0" xfId="0" applyFont="1" applyFill="1"/>
    <xf numFmtId="0" fontId="29" fillId="2" borderId="0" xfId="0" applyFont="1" applyFill="1"/>
    <xf numFmtId="0" fontId="20" fillId="17" borderId="1" xfId="0" applyFont="1" applyFill="1" applyBorder="1" applyAlignment="1">
      <alignment vertical="center"/>
    </xf>
    <xf numFmtId="0" fontId="28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32" fillId="0" borderId="24" xfId="0" applyFont="1" applyBorder="1" applyAlignment="1"/>
    <xf numFmtId="0" fontId="0" fillId="2" borderId="0" xfId="0" applyFill="1" applyAlignment="1"/>
    <xf numFmtId="0" fontId="0" fillId="2" borderId="30" xfId="0" applyFill="1" applyBorder="1"/>
    <xf numFmtId="0" fontId="0" fillId="2" borderId="31" xfId="0" applyFill="1" applyBorder="1"/>
    <xf numFmtId="0" fontId="0" fillId="2" borderId="25" xfId="0" applyFill="1" applyBorder="1"/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35" fillId="0" borderId="0" xfId="4" applyFont="1"/>
    <xf numFmtId="0" fontId="36" fillId="2" borderId="0" xfId="0" applyFont="1" applyFill="1"/>
    <xf numFmtId="0" fontId="17" fillId="0" borderId="1" xfId="0" applyFont="1" applyFill="1" applyBorder="1" applyAlignment="1">
      <alignment horizontal="center" vertical="center"/>
    </xf>
    <xf numFmtId="166" fontId="17" fillId="0" borderId="1" xfId="0" applyNumberFormat="1" applyFont="1" applyFill="1" applyBorder="1" applyAlignment="1">
      <alignment horizontal="center" vertical="center"/>
    </xf>
    <xf numFmtId="167" fontId="3" fillId="18" borderId="25" xfId="1" applyNumberFormat="1" applyFont="1" applyFill="1" applyBorder="1"/>
    <xf numFmtId="0" fontId="0" fillId="2" borderId="33" xfId="0" applyFill="1" applyBorder="1"/>
    <xf numFmtId="9" fontId="3" fillId="18" borderId="1" xfId="0" applyNumberFormat="1" applyFont="1" applyFill="1" applyBorder="1" applyAlignment="1">
      <alignment horizontal="center"/>
    </xf>
    <xf numFmtId="9" fontId="3" fillId="18" borderId="1" xfId="2" applyFont="1" applyFill="1" applyBorder="1" applyAlignment="1">
      <alignment horizontal="center"/>
    </xf>
    <xf numFmtId="167" fontId="1" fillId="18" borderId="7" xfId="1" applyNumberFormat="1" applyFont="1" applyFill="1" applyBorder="1" applyAlignment="1"/>
    <xf numFmtId="167" fontId="0" fillId="18" borderId="9" xfId="1" applyNumberFormat="1" applyFont="1" applyFill="1" applyBorder="1" applyAlignment="1"/>
    <xf numFmtId="165" fontId="0" fillId="18" borderId="1" xfId="1" applyNumberFormat="1" applyFont="1" applyFill="1" applyBorder="1" applyAlignment="1">
      <alignment horizontal="center"/>
    </xf>
    <xf numFmtId="165" fontId="29" fillId="18" borderId="1" xfId="1" applyNumberFormat="1" applyFont="1" applyFill="1" applyBorder="1" applyAlignment="1">
      <alignment horizontal="center"/>
    </xf>
    <xf numFmtId="0" fontId="37" fillId="2" borderId="0" xfId="0" applyFont="1" applyFill="1"/>
    <xf numFmtId="0" fontId="38" fillId="2" borderId="0" xfId="0" applyFont="1" applyFill="1"/>
    <xf numFmtId="0" fontId="38" fillId="0" borderId="0" xfId="0" applyFont="1"/>
    <xf numFmtId="0" fontId="34" fillId="0" borderId="0" xfId="4"/>
    <xf numFmtId="0" fontId="25" fillId="18" borderId="1" xfId="3" applyFont="1" applyFill="1" applyBorder="1" applyAlignment="1">
      <alignment horizontal="center" vertical="center"/>
    </xf>
    <xf numFmtId="0" fontId="23" fillId="18" borderId="1" xfId="3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165" fontId="17" fillId="19" borderId="1" xfId="1" applyNumberFormat="1" applyFont="1" applyFill="1" applyBorder="1" applyAlignment="1">
      <alignment horizontal="center" vertical="center"/>
    </xf>
    <xf numFmtId="0" fontId="0" fillId="2" borderId="35" xfId="0" applyFill="1" applyBorder="1"/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0" fillId="2" borderId="37" xfId="0" applyFill="1" applyBorder="1"/>
    <xf numFmtId="0" fontId="0" fillId="18" borderId="33" xfId="0" applyFill="1" applyBorder="1"/>
    <xf numFmtId="0" fontId="0" fillId="18" borderId="26" xfId="0" applyFill="1" applyBorder="1"/>
    <xf numFmtId="164" fontId="16" fillId="0" borderId="1" xfId="1" applyFont="1" applyFill="1" applyBorder="1" applyAlignment="1">
      <alignment horizontal="left" vertical="top" wrapText="1"/>
    </xf>
    <xf numFmtId="0" fontId="16" fillId="13" borderId="21" xfId="0" applyFont="1" applyFill="1" applyBorder="1" applyAlignment="1">
      <alignment horizontal="left" vertical="top" wrapText="1"/>
    </xf>
    <xf numFmtId="0" fontId="39" fillId="2" borderId="0" xfId="0" applyFont="1" applyFill="1"/>
    <xf numFmtId="165" fontId="39" fillId="2" borderId="0" xfId="0" applyNumberFormat="1" applyFont="1" applyFill="1"/>
    <xf numFmtId="0" fontId="39" fillId="2" borderId="0" xfId="0" applyFont="1" applyFill="1" applyAlignment="1">
      <alignment horizontal="center"/>
    </xf>
    <xf numFmtId="165" fontId="4" fillId="2" borderId="1" xfId="1" applyNumberFormat="1" applyFont="1" applyFill="1" applyBorder="1"/>
    <xf numFmtId="164" fontId="4" fillId="2" borderId="1" xfId="0" applyNumberFormat="1" applyFont="1" applyFill="1" applyBorder="1"/>
    <xf numFmtId="167" fontId="0" fillId="18" borderId="1" xfId="1" applyNumberFormat="1" applyFont="1" applyFill="1" applyBorder="1" applyAlignment="1">
      <alignment horizontal="center"/>
    </xf>
    <xf numFmtId="164" fontId="3" fillId="18" borderId="36" xfId="1" applyNumberFormat="1" applyFont="1" applyFill="1" applyBorder="1" applyAlignment="1">
      <alignment horizontal="center" vertical="center" wrapText="1"/>
    </xf>
    <xf numFmtId="164" fontId="3" fillId="18" borderId="34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  <xf numFmtId="43" fontId="0" fillId="2" borderId="0" xfId="0" applyNumberFormat="1" applyFill="1"/>
    <xf numFmtId="164" fontId="4" fillId="2" borderId="0" xfId="0" applyNumberFormat="1" applyFont="1" applyFill="1"/>
    <xf numFmtId="0" fontId="0" fillId="6" borderId="2" xfId="0" applyFill="1" applyBorder="1" applyAlignment="1">
      <alignment horizontal="justify" vertical="top" wrapText="1"/>
    </xf>
    <xf numFmtId="0" fontId="0" fillId="6" borderId="3" xfId="0" applyFill="1" applyBorder="1" applyAlignment="1">
      <alignment horizontal="justify" vertical="top" wrapText="1"/>
    </xf>
    <xf numFmtId="0" fontId="0" fillId="6" borderId="4" xfId="0" applyFill="1" applyBorder="1" applyAlignment="1">
      <alignment horizontal="justify" vertical="top" wrapText="1"/>
    </xf>
    <xf numFmtId="0" fontId="0" fillId="6" borderId="5" xfId="0" applyFill="1" applyBorder="1" applyAlignment="1">
      <alignment horizontal="justify" vertical="top" wrapText="1"/>
    </xf>
    <xf numFmtId="0" fontId="0" fillId="6" borderId="0" xfId="0" applyFill="1" applyBorder="1" applyAlignment="1">
      <alignment horizontal="justify" vertical="top" wrapText="1"/>
    </xf>
    <xf numFmtId="0" fontId="0" fillId="6" borderId="6" xfId="0" applyFill="1" applyBorder="1" applyAlignment="1">
      <alignment horizontal="justify" vertical="top" wrapText="1"/>
    </xf>
    <xf numFmtId="0" fontId="0" fillId="6" borderId="7" xfId="0" applyFill="1" applyBorder="1" applyAlignment="1">
      <alignment horizontal="justify" vertical="top" wrapText="1"/>
    </xf>
    <xf numFmtId="0" fontId="0" fillId="6" borderId="8" xfId="0" applyFill="1" applyBorder="1" applyAlignment="1">
      <alignment horizontal="justify" vertical="top" wrapText="1"/>
    </xf>
    <xf numFmtId="0" fontId="0" fillId="6" borderId="9" xfId="0" applyFill="1" applyBorder="1" applyAlignment="1">
      <alignment horizontal="justify" vertical="top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12" fillId="9" borderId="12" xfId="0" applyFont="1" applyFill="1" applyBorder="1" applyAlignment="1">
      <alignment horizontal="left" vertical="center" wrapText="1"/>
    </xf>
    <xf numFmtId="0" fontId="12" fillId="9" borderId="13" xfId="0" applyFont="1" applyFill="1" applyBorder="1" applyAlignment="1">
      <alignment horizontal="left" vertical="center" wrapText="1"/>
    </xf>
    <xf numFmtId="0" fontId="12" fillId="9" borderId="14" xfId="0" applyFont="1" applyFill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4" borderId="21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center"/>
    </xf>
    <xf numFmtId="0" fontId="4" fillId="15" borderId="23" xfId="0" applyFont="1" applyFill="1" applyBorder="1" applyAlignment="1">
      <alignment horizontal="center"/>
    </xf>
    <xf numFmtId="0" fontId="0" fillId="18" borderId="39" xfId="0" applyFill="1" applyBorder="1"/>
    <xf numFmtId="164" fontId="3" fillId="18" borderId="40" xfId="1" applyNumberFormat="1" applyFont="1" applyFill="1" applyBorder="1" applyAlignment="1">
      <alignment horizontal="center" vertical="center" wrapText="1"/>
    </xf>
    <xf numFmtId="164" fontId="3" fillId="18" borderId="27" xfId="1" applyNumberFormat="1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vertical="center"/>
    </xf>
    <xf numFmtId="0" fontId="33" fillId="0" borderId="38" xfId="0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4" fontId="0" fillId="2" borderId="0" xfId="0" applyNumberFormat="1" applyFill="1"/>
  </cellXfs>
  <cellStyles count="5">
    <cellStyle name="Hipervínculo" xfId="4" builtinId="8"/>
    <cellStyle name="Millares" xfId="1" builtinId="3"/>
    <cellStyle name="Normal" xfId="0" builtinId="0"/>
    <cellStyle name="Normal 10 3" xfId="3" xr:uid="{00000000-0005-0000-0000-000003000000}"/>
    <cellStyle name="Porcentaje" xfId="2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Emisiones de GEI por cocinas mejoradas en ámbito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MtCO2eq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/>
          </c:spPr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cat>
            <c:numRef>
              <c:f>Formato!$C$183:$L$183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Formato!$C$185:$L$185</c:f>
              <c:numCache>
                <c:formatCode>_(* #,##0.00_);_(* \(#,##0.00\);_(* "-"??_);_(@_)</c:formatCode>
                <c:ptCount val="10"/>
                <c:pt idx="0">
                  <c:v>-0.16905489335612792</c:v>
                </c:pt>
                <c:pt idx="1">
                  <c:v>-0.4905378718593596</c:v>
                </c:pt>
                <c:pt idx="2">
                  <c:v>-0.51830799814809514</c:v>
                </c:pt>
                <c:pt idx="3">
                  <c:v>-0.62615084251823949</c:v>
                </c:pt>
                <c:pt idx="4">
                  <c:v>-0.79136853774367866</c:v>
                </c:pt>
                <c:pt idx="5">
                  <c:v>-0.81627335167705484</c:v>
                </c:pt>
                <c:pt idx="6">
                  <c:v>-1.1922618327832142</c:v>
                </c:pt>
                <c:pt idx="7">
                  <c:v>-1.2950360701181256</c:v>
                </c:pt>
                <c:pt idx="8">
                  <c:v>-1.2958817306061094</c:v>
                </c:pt>
                <c:pt idx="9">
                  <c:v>-1.2958817306061097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5A8-A7C5-7414F58D5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094671"/>
        <c:axId val="1994013375"/>
      </c:areaChart>
      <c:catAx>
        <c:axId val="171709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4013375"/>
        <c:crosses val="autoZero"/>
        <c:auto val="1"/>
        <c:lblAlgn val="ctr"/>
        <c:lblOffset val="100"/>
        <c:noMultiLvlLbl val="0"/>
      </c:catAx>
      <c:valAx>
        <c:axId val="19940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7094671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13</xdr:row>
      <xdr:rowOff>0</xdr:rowOff>
    </xdr:from>
    <xdr:to>
      <xdr:col>3</xdr:col>
      <xdr:colOff>66676</xdr:colOff>
      <xdr:row>14</xdr:row>
      <xdr:rowOff>19200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6700" y="2886075"/>
          <a:ext cx="7972426" cy="32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266699</xdr:colOff>
      <xdr:row>31</xdr:row>
      <xdr:rowOff>0</xdr:rowOff>
    </xdr:from>
    <xdr:to>
      <xdr:col>4</xdr:col>
      <xdr:colOff>3448874</xdr:colOff>
      <xdr:row>32</xdr:row>
      <xdr:rowOff>19200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6699" y="7019925"/>
          <a:ext cx="13212000" cy="32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186</xdr:row>
      <xdr:rowOff>0</xdr:rowOff>
    </xdr:from>
    <xdr:to>
      <xdr:col>8</xdr:col>
      <xdr:colOff>1067132</xdr:colOff>
      <xdr:row>200</xdr:row>
      <xdr:rowOff>145774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6B227D2-547D-45D2-914D-30C7B5C90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ustentarios\8.%20Cocci&#243;n%20limpia\Cocinas%20mejoradas\Indicadores%20Berkele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Acceso%20Universal%20a%20la%20Energ&#237;a%20sostenible\Cocci&#243;n\Informaci&#243;n%20GLP-FISE%20y%20calculos%20propi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.1%20Plantilla_Coccion_Lena%20(completada%20a%20201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s"/>
      <sheetName val="Energía y contenido de carbono"/>
      <sheetName val="Comparativo IPCC"/>
      <sheetName val="Factores de emisión"/>
    </sheetNames>
    <sheetDataSet>
      <sheetData sheetId="0">
        <row r="54">
          <cell r="D54">
            <v>2.8233333333333328</v>
          </cell>
        </row>
        <row r="55">
          <cell r="C55">
            <v>1.53</v>
          </cell>
        </row>
        <row r="56">
          <cell r="C56">
            <v>1.42</v>
          </cell>
        </row>
        <row r="57">
          <cell r="C57">
            <v>2.06</v>
          </cell>
        </row>
        <row r="58">
          <cell r="C58">
            <v>0.84</v>
          </cell>
        </row>
        <row r="59">
          <cell r="C59">
            <v>1.1599999999999999</v>
          </cell>
        </row>
      </sheetData>
      <sheetData sheetId="1">
        <row r="5">
          <cell r="M5">
            <v>17412.166666666668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dimiento GLP"/>
      <sheetName val="Rendimientos otras"/>
      <sheetName val="Vales FISE"/>
      <sheetName val="Calculos propios"/>
      <sheetName val="Factores"/>
    </sheetNames>
    <sheetDataSet>
      <sheetData sheetId="0"/>
      <sheetData sheetId="1"/>
      <sheetData sheetId="2">
        <row r="25">
          <cell r="C25">
            <v>5822706</v>
          </cell>
        </row>
      </sheetData>
      <sheetData sheetId="3">
        <row r="6">
          <cell r="T6">
            <v>7.3806724874458691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cción Leña"/>
      <sheetName val="Hoja2"/>
    </sheetNames>
    <sheetDataSet>
      <sheetData sheetId="0"/>
      <sheetData sheetId="1">
        <row r="6">
          <cell r="F6" t="str">
            <v>Inkawasi tawa</v>
          </cell>
        </row>
        <row r="7">
          <cell r="F7" t="str">
            <v>Inkawasi tawa pichqa</v>
          </cell>
        </row>
        <row r="8">
          <cell r="F8" t="str">
            <v>Inkawasi 3 hornillas</v>
          </cell>
        </row>
        <row r="9">
          <cell r="F9" t="str">
            <v>Inkawasi sojta</v>
          </cell>
        </row>
        <row r="10">
          <cell r="F10" t="str">
            <v>Inkawasi Plancha</v>
          </cell>
        </row>
        <row r="11">
          <cell r="F11" t="str">
            <v>Inkawasi UK</v>
          </cell>
        </row>
        <row r="12">
          <cell r="F12" t="str">
            <v>Mejorada Selva</v>
          </cell>
        </row>
        <row r="13">
          <cell r="F13" t="str">
            <v>Caralia</v>
          </cell>
        </row>
        <row r="14">
          <cell r="F14" t="str">
            <v>Haku wiñay (VA)</v>
          </cell>
        </row>
        <row r="15">
          <cell r="F15" t="str">
            <v>Altoandina</v>
          </cell>
        </row>
        <row r="16">
          <cell r="F16" t="str">
            <v>Amaray</v>
          </cell>
        </row>
        <row r="17">
          <cell r="F17" t="str">
            <v>Econofire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s.slideshare.net/slides_eoi/alfredo-lopez-mendiburu-acciona" TargetMode="External"/><Relationship Id="rId1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zoomScaleNormal="100" workbookViewId="0">
      <selection activeCell="C40" sqref="C40"/>
    </sheetView>
  </sheetViews>
  <sheetFormatPr baseColWidth="10" defaultColWidth="11.44140625" defaultRowHeight="14.4" x14ac:dyDescent="0.3"/>
  <cols>
    <col min="1" max="1" width="4.109375" style="1" customWidth="1"/>
    <col min="2" max="2" width="14.88671875" style="1" customWidth="1"/>
    <col min="3" max="3" width="103.5546875" style="1" customWidth="1"/>
    <col min="4" max="4" width="48.44140625" style="1" customWidth="1"/>
    <col min="5" max="5" width="40.88671875" style="1" customWidth="1"/>
    <col min="6" max="16384" width="11.44140625" style="1"/>
  </cols>
  <sheetData>
    <row r="2" spans="1:7" s="2" customFormat="1" x14ac:dyDescent="0.3">
      <c r="A2" s="2" t="s">
        <v>0</v>
      </c>
      <c r="B2" s="2" t="s">
        <v>1</v>
      </c>
    </row>
    <row r="3" spans="1:7" ht="15" thickBot="1" x14ac:dyDescent="0.35"/>
    <row r="4" spans="1:7" x14ac:dyDescent="0.3">
      <c r="B4" s="87" t="s">
        <v>10</v>
      </c>
      <c r="C4" s="88"/>
      <c r="D4" s="88"/>
      <c r="E4" s="89"/>
    </row>
    <row r="5" spans="1:7" x14ac:dyDescent="0.3">
      <c r="B5" s="90"/>
      <c r="C5" s="91"/>
      <c r="D5" s="91"/>
      <c r="E5" s="92"/>
    </row>
    <row r="6" spans="1:7" ht="15" thickBot="1" x14ac:dyDescent="0.35">
      <c r="B6" s="93"/>
      <c r="C6" s="94"/>
      <c r="D6" s="94"/>
      <c r="E6" s="95"/>
    </row>
    <row r="8" spans="1:7" x14ac:dyDescent="0.3">
      <c r="B8" s="3" t="s">
        <v>2</v>
      </c>
      <c r="C8" s="3" t="s">
        <v>3</v>
      </c>
      <c r="D8" s="3" t="s">
        <v>4</v>
      </c>
      <c r="E8" s="3" t="s">
        <v>5</v>
      </c>
    </row>
    <row r="9" spans="1:7" ht="43.2" x14ac:dyDescent="0.3">
      <c r="B9" s="4" t="s">
        <v>6</v>
      </c>
      <c r="C9" s="26" t="s">
        <v>7</v>
      </c>
      <c r="D9" s="32" t="s">
        <v>8</v>
      </c>
      <c r="E9" s="33" t="s">
        <v>9</v>
      </c>
    </row>
    <row r="11" spans="1:7" ht="15.6" x14ac:dyDescent="0.3">
      <c r="B11" s="5" t="s">
        <v>11</v>
      </c>
    </row>
    <row r="13" spans="1:7" x14ac:dyDescent="0.3">
      <c r="B13" s="6" t="s">
        <v>12</v>
      </c>
      <c r="C13" s="7"/>
    </row>
    <row r="14" spans="1:7" ht="24.6" x14ac:dyDescent="0.3">
      <c r="B14" s="8" t="s">
        <v>147</v>
      </c>
      <c r="D14"/>
      <c r="E14" s="60"/>
      <c r="F14" s="61"/>
      <c r="G14" s="62"/>
    </row>
    <row r="16" spans="1:7" x14ac:dyDescent="0.3">
      <c r="B16" s="1" t="s">
        <v>13</v>
      </c>
    </row>
    <row r="17" spans="2:3" ht="15.6" x14ac:dyDescent="0.35">
      <c r="B17" s="1" t="s">
        <v>83</v>
      </c>
      <c r="C17" s="1" t="s">
        <v>146</v>
      </c>
    </row>
    <row r="18" spans="2:3" ht="18" customHeight="1" x14ac:dyDescent="0.35">
      <c r="B18" s="1" t="s">
        <v>20</v>
      </c>
      <c r="C18" s="1" t="s">
        <v>15</v>
      </c>
    </row>
    <row r="19" spans="2:3" ht="15.6" x14ac:dyDescent="0.35">
      <c r="B19" s="1" t="s">
        <v>95</v>
      </c>
      <c r="C19" s="1" t="s">
        <v>94</v>
      </c>
    </row>
    <row r="20" spans="2:3" ht="18" customHeight="1" x14ac:dyDescent="0.35">
      <c r="B20" s="1" t="s">
        <v>16</v>
      </c>
      <c r="C20" s="1" t="s">
        <v>17</v>
      </c>
    </row>
    <row r="21" spans="2:3" ht="18" customHeight="1" x14ac:dyDescent="0.35">
      <c r="B21" s="1" t="s">
        <v>85</v>
      </c>
      <c r="C21" s="1" t="s">
        <v>87</v>
      </c>
    </row>
    <row r="22" spans="2:3" ht="18" customHeight="1" x14ac:dyDescent="0.35">
      <c r="B22" s="1" t="s">
        <v>86</v>
      </c>
      <c r="C22" s="1" t="s">
        <v>88</v>
      </c>
    </row>
    <row r="23" spans="2:3" ht="18" customHeight="1" x14ac:dyDescent="0.35">
      <c r="B23" s="1" t="s">
        <v>90</v>
      </c>
      <c r="C23" s="1" t="s">
        <v>92</v>
      </c>
    </row>
    <row r="24" spans="2:3" ht="18" customHeight="1" x14ac:dyDescent="0.35">
      <c r="B24" s="1" t="s">
        <v>84</v>
      </c>
      <c r="C24" s="1" t="s">
        <v>89</v>
      </c>
    </row>
    <row r="25" spans="2:3" ht="18" customHeight="1" x14ac:dyDescent="0.35">
      <c r="B25" s="1" t="s">
        <v>91</v>
      </c>
      <c r="C25" s="1" t="s">
        <v>93</v>
      </c>
    </row>
    <row r="26" spans="2:3" ht="15.6" x14ac:dyDescent="0.35">
      <c r="B26" s="1" t="s">
        <v>18</v>
      </c>
      <c r="C26" s="1" t="s">
        <v>19</v>
      </c>
    </row>
    <row r="27" spans="2:3" x14ac:dyDescent="0.3">
      <c r="B27" s="1" t="s">
        <v>118</v>
      </c>
      <c r="C27" s="1" t="s">
        <v>119</v>
      </c>
    </row>
    <row r="29" spans="2:3" ht="15.6" x14ac:dyDescent="0.3">
      <c r="B29" s="5" t="s">
        <v>81</v>
      </c>
    </row>
    <row r="30" spans="2:3" ht="15.6" x14ac:dyDescent="0.3">
      <c r="B30" s="5"/>
    </row>
    <row r="31" spans="2:3" x14ac:dyDescent="0.3">
      <c r="B31" s="6" t="s">
        <v>82</v>
      </c>
      <c r="C31" s="7"/>
    </row>
    <row r="32" spans="2:3" ht="24.6" x14ac:dyDescent="0.3">
      <c r="B32" s="8" t="s">
        <v>117</v>
      </c>
    </row>
    <row r="34" spans="2:3" x14ac:dyDescent="0.3">
      <c r="B34" s="1" t="s">
        <v>13</v>
      </c>
    </row>
    <row r="35" spans="2:3" ht="15.6" x14ac:dyDescent="0.35">
      <c r="B35" s="1" t="s">
        <v>83</v>
      </c>
      <c r="C35" s="1" t="s">
        <v>14</v>
      </c>
    </row>
    <row r="36" spans="2:3" ht="15.6" x14ac:dyDescent="0.35">
      <c r="B36" s="1" t="s">
        <v>20</v>
      </c>
      <c r="C36" s="1" t="s">
        <v>15</v>
      </c>
    </row>
    <row r="37" spans="2:3" ht="15.6" x14ac:dyDescent="0.35">
      <c r="B37" s="1" t="s">
        <v>16</v>
      </c>
      <c r="C37" s="1" t="s">
        <v>17</v>
      </c>
    </row>
    <row r="38" spans="2:3" ht="15.6" x14ac:dyDescent="0.35">
      <c r="B38" s="1" t="s">
        <v>85</v>
      </c>
      <c r="C38" s="1" t="s">
        <v>87</v>
      </c>
    </row>
    <row r="39" spans="2:3" ht="15.6" x14ac:dyDescent="0.35">
      <c r="B39" s="1" t="s">
        <v>86</v>
      </c>
      <c r="C39" s="1" t="s">
        <v>88</v>
      </c>
    </row>
    <row r="40" spans="2:3" ht="15.6" x14ac:dyDescent="0.35">
      <c r="B40" s="1" t="s">
        <v>90</v>
      </c>
      <c r="C40" s="1" t="s">
        <v>92</v>
      </c>
    </row>
    <row r="41" spans="2:3" ht="15.6" x14ac:dyDescent="0.35">
      <c r="B41" s="1" t="s">
        <v>96</v>
      </c>
      <c r="C41" s="1" t="s">
        <v>89</v>
      </c>
    </row>
    <row r="42" spans="2:3" ht="15.6" x14ac:dyDescent="0.35">
      <c r="B42" s="1" t="s">
        <v>91</v>
      </c>
      <c r="C42" s="1" t="s">
        <v>93</v>
      </c>
    </row>
    <row r="43" spans="2:3" ht="15.6" x14ac:dyDescent="0.35">
      <c r="B43" s="1" t="s">
        <v>103</v>
      </c>
      <c r="C43" s="1" t="s">
        <v>105</v>
      </c>
    </row>
    <row r="44" spans="2:3" ht="15.6" x14ac:dyDescent="0.35">
      <c r="B44" s="1" t="s">
        <v>95</v>
      </c>
      <c r="C44" s="1" t="s">
        <v>94</v>
      </c>
    </row>
    <row r="45" spans="2:3" ht="15.6" x14ac:dyDescent="0.35">
      <c r="B45" s="1" t="s">
        <v>97</v>
      </c>
      <c r="C45" s="1" t="s">
        <v>152</v>
      </c>
    </row>
    <row r="46" spans="2:3" ht="15.6" x14ac:dyDescent="0.35">
      <c r="B46" s="1" t="s">
        <v>98</v>
      </c>
      <c r="C46" s="1" t="s">
        <v>153</v>
      </c>
    </row>
    <row r="47" spans="2:3" ht="15.6" x14ac:dyDescent="0.35">
      <c r="B47" s="1" t="s">
        <v>90</v>
      </c>
      <c r="C47" s="1" t="s">
        <v>92</v>
      </c>
    </row>
    <row r="48" spans="2:3" ht="15.6" x14ac:dyDescent="0.35">
      <c r="B48" s="1" t="s">
        <v>84</v>
      </c>
      <c r="C48" s="1" t="s">
        <v>154</v>
      </c>
    </row>
    <row r="49" spans="2:3" ht="15.6" x14ac:dyDescent="0.35">
      <c r="B49" s="1" t="s">
        <v>91</v>
      </c>
      <c r="C49" s="1" t="s">
        <v>93</v>
      </c>
    </row>
    <row r="50" spans="2:3" ht="15.6" x14ac:dyDescent="0.35">
      <c r="B50" s="1" t="s">
        <v>104</v>
      </c>
      <c r="C50" s="1" t="s">
        <v>106</v>
      </c>
    </row>
    <row r="51" spans="2:3" x14ac:dyDescent="0.3">
      <c r="B51" s="1" t="s">
        <v>118</v>
      </c>
      <c r="C51" s="1" t="s">
        <v>119</v>
      </c>
    </row>
  </sheetData>
  <mergeCells count="1">
    <mergeCell ref="B4:E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5"/>
  <sheetViews>
    <sheetView workbookViewId="0">
      <selection activeCell="E20" sqref="E20"/>
    </sheetView>
  </sheetViews>
  <sheetFormatPr baseColWidth="10" defaultColWidth="11.44140625" defaultRowHeight="14.4" x14ac:dyDescent="0.3"/>
  <cols>
    <col min="1" max="1" width="4.5546875" style="1" bestFit="1" customWidth="1"/>
    <col min="2" max="2" width="11.44140625" style="1"/>
    <col min="3" max="3" width="37.88671875" style="1" customWidth="1"/>
    <col min="4" max="4" width="27" style="1" customWidth="1"/>
    <col min="5" max="5" width="22.6640625" style="1" customWidth="1"/>
    <col min="6" max="6" width="22.88671875" style="1" customWidth="1"/>
    <col min="7" max="7" width="22.6640625" style="1" customWidth="1"/>
    <col min="8" max="16384" width="11.44140625" style="1"/>
  </cols>
  <sheetData>
    <row r="2" spans="1:7" s="2" customFormat="1" x14ac:dyDescent="0.3">
      <c r="A2" s="2" t="s">
        <v>0</v>
      </c>
      <c r="B2" s="2" t="s">
        <v>1</v>
      </c>
    </row>
    <row r="4" spans="1:7" x14ac:dyDescent="0.3">
      <c r="B4" s="96" t="s">
        <v>21</v>
      </c>
      <c r="C4" s="96"/>
      <c r="D4" s="96"/>
      <c r="E4" s="96"/>
      <c r="F4" s="96"/>
      <c r="G4" s="96"/>
    </row>
    <row r="5" spans="1:7" x14ac:dyDescent="0.3">
      <c r="B5" s="9" t="s">
        <v>22</v>
      </c>
      <c r="D5" s="9" t="s">
        <v>23</v>
      </c>
    </row>
    <row r="6" spans="1:7" x14ac:dyDescent="0.3">
      <c r="B6" s="97" t="s">
        <v>24</v>
      </c>
      <c r="C6" s="97"/>
      <c r="D6" s="97" t="s">
        <v>24</v>
      </c>
      <c r="E6" s="97"/>
    </row>
    <row r="7" spans="1:7" ht="15.6" x14ac:dyDescent="0.3">
      <c r="B7" s="10" t="s">
        <v>25</v>
      </c>
      <c r="D7" s="1" t="s">
        <v>26</v>
      </c>
    </row>
    <row r="9" spans="1:7" x14ac:dyDescent="0.3">
      <c r="B9" s="11" t="s">
        <v>27</v>
      </c>
      <c r="C9" s="11" t="s">
        <v>28</v>
      </c>
      <c r="D9" s="11" t="s">
        <v>29</v>
      </c>
      <c r="E9" s="12" t="s">
        <v>30</v>
      </c>
      <c r="F9" s="13" t="s">
        <v>31</v>
      </c>
      <c r="G9" s="13" t="s">
        <v>32</v>
      </c>
    </row>
    <row r="10" spans="1:7" x14ac:dyDescent="0.3">
      <c r="B10" s="98" t="s">
        <v>6</v>
      </c>
      <c r="C10" s="99"/>
      <c r="D10" s="99"/>
      <c r="E10" s="99"/>
      <c r="F10" s="99"/>
      <c r="G10" s="100"/>
    </row>
    <row r="11" spans="1:7" ht="22.8" x14ac:dyDescent="0.3">
      <c r="B11" s="101" t="s">
        <v>33</v>
      </c>
      <c r="C11" s="14" t="s">
        <v>34</v>
      </c>
      <c r="D11" s="14" t="s">
        <v>35</v>
      </c>
      <c r="E11" s="14" t="s">
        <v>36</v>
      </c>
      <c r="F11" s="14" t="s">
        <v>37</v>
      </c>
      <c r="G11" s="14" t="s">
        <v>50</v>
      </c>
    </row>
    <row r="12" spans="1:7" ht="22.8" x14ac:dyDescent="0.3">
      <c r="B12" s="102"/>
      <c r="C12" s="14" t="s">
        <v>38</v>
      </c>
      <c r="D12" s="14" t="s">
        <v>39</v>
      </c>
      <c r="E12" s="14" t="s">
        <v>36</v>
      </c>
      <c r="F12" s="14" t="s">
        <v>37</v>
      </c>
      <c r="G12" s="14" t="s">
        <v>50</v>
      </c>
    </row>
    <row r="13" spans="1:7" x14ac:dyDescent="0.3">
      <c r="B13" s="103"/>
      <c r="C13" s="14" t="s">
        <v>40</v>
      </c>
      <c r="D13" s="14" t="s">
        <v>41</v>
      </c>
      <c r="E13" s="14" t="s">
        <v>36</v>
      </c>
      <c r="F13" s="14" t="s">
        <v>42</v>
      </c>
      <c r="G13" s="14" t="s">
        <v>45</v>
      </c>
    </row>
    <row r="14" spans="1:7" ht="22.8" x14ac:dyDescent="0.3">
      <c r="B14" s="15" t="s">
        <v>43</v>
      </c>
      <c r="C14" s="14" t="s">
        <v>51</v>
      </c>
      <c r="D14" s="14" t="s">
        <v>52</v>
      </c>
      <c r="E14" s="14" t="s">
        <v>44</v>
      </c>
      <c r="F14" s="14" t="s">
        <v>53</v>
      </c>
      <c r="G14" s="14" t="s">
        <v>45</v>
      </c>
    </row>
    <row r="15" spans="1:7" ht="36" customHeight="1" x14ac:dyDescent="0.3">
      <c r="B15" s="15" t="s">
        <v>46</v>
      </c>
      <c r="C15" s="14" t="s">
        <v>47</v>
      </c>
      <c r="D15" s="14" t="s">
        <v>36</v>
      </c>
      <c r="E15" s="14" t="s">
        <v>48</v>
      </c>
      <c r="F15" s="14" t="s">
        <v>54</v>
      </c>
      <c r="G15" s="14" t="s">
        <v>49</v>
      </c>
    </row>
  </sheetData>
  <mergeCells count="5">
    <mergeCell ref="B4:G4"/>
    <mergeCell ref="B6:C6"/>
    <mergeCell ref="D6:E6"/>
    <mergeCell ref="B10:G10"/>
    <mergeCell ref="B11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85"/>
  <sheetViews>
    <sheetView tabSelected="1" zoomScale="115" zoomScaleNormal="115" workbookViewId="0">
      <selection activeCell="J193" sqref="J193"/>
    </sheetView>
  </sheetViews>
  <sheetFormatPr baseColWidth="10" defaultColWidth="11.44140625" defaultRowHeight="14.4" x14ac:dyDescent="0.3"/>
  <cols>
    <col min="1" max="1" width="1.88671875" style="1" customWidth="1"/>
    <col min="2" max="2" width="20.109375" style="1" customWidth="1"/>
    <col min="3" max="3" width="14.88671875" style="1" customWidth="1"/>
    <col min="4" max="4" width="24.5546875" style="1" customWidth="1"/>
    <col min="5" max="5" width="15.21875" style="1" bestFit="1" customWidth="1"/>
    <col min="6" max="6" width="19.33203125" style="1" customWidth="1"/>
    <col min="7" max="7" width="26.44140625" style="1" bestFit="1" customWidth="1"/>
    <col min="8" max="8" width="20.21875" style="1" bestFit="1" customWidth="1"/>
    <col min="9" max="9" width="30.33203125" style="1" customWidth="1"/>
    <col min="10" max="10" width="13" style="1" customWidth="1"/>
    <col min="11" max="11" width="20.33203125" style="1" bestFit="1" customWidth="1"/>
    <col min="12" max="12" width="21.77734375" style="1" bestFit="1" customWidth="1"/>
    <col min="13" max="13" width="17.33203125" style="1" bestFit="1" customWidth="1"/>
    <col min="14" max="14" width="17.21875" style="1" bestFit="1" customWidth="1"/>
    <col min="15" max="15" width="23" style="1" customWidth="1"/>
    <col min="16" max="16" width="7.44140625" style="1" customWidth="1"/>
    <col min="17" max="18" width="11.44140625" style="1" customWidth="1"/>
    <col min="19" max="19" width="12.109375" style="1" customWidth="1"/>
    <col min="20" max="20" width="7.21875" style="1" bestFit="1" customWidth="1"/>
    <col min="21" max="21" width="4.88671875" style="1" customWidth="1"/>
    <col min="22" max="16384" width="11.44140625" style="1"/>
  </cols>
  <sheetData>
    <row r="1" spans="2:14" ht="9.75" customHeight="1" x14ac:dyDescent="0.3"/>
    <row r="2" spans="2:14" x14ac:dyDescent="0.3">
      <c r="B2" s="104" t="s">
        <v>55</v>
      </c>
      <c r="C2" s="104"/>
      <c r="D2" s="105" t="s">
        <v>56</v>
      </c>
      <c r="E2" s="105"/>
      <c r="F2" s="105"/>
      <c r="G2" s="105"/>
      <c r="H2" s="105"/>
      <c r="I2" s="105"/>
      <c r="J2" s="105"/>
    </row>
    <row r="3" spans="2:14" ht="30" x14ac:dyDescent="0.3">
      <c r="B3" s="16" t="s">
        <v>57</v>
      </c>
      <c r="C3" s="17" t="s">
        <v>77</v>
      </c>
      <c r="D3" s="16" t="s">
        <v>57</v>
      </c>
      <c r="E3" s="17" t="s">
        <v>77</v>
      </c>
      <c r="F3" s="17" t="s">
        <v>58</v>
      </c>
      <c r="G3" s="17" t="s">
        <v>123</v>
      </c>
      <c r="H3" s="17" t="s">
        <v>59</v>
      </c>
      <c r="I3" s="18" t="s">
        <v>180</v>
      </c>
    </row>
    <row r="4" spans="2:14" ht="34.200000000000003" x14ac:dyDescent="0.3">
      <c r="B4" s="19" t="s">
        <v>79</v>
      </c>
      <c r="C4" s="19" t="s">
        <v>125</v>
      </c>
      <c r="D4" s="19" t="s">
        <v>80</v>
      </c>
      <c r="E4" s="19" t="s">
        <v>125</v>
      </c>
      <c r="F4" s="19" t="s">
        <v>60</v>
      </c>
      <c r="G4" s="19" t="s">
        <v>179</v>
      </c>
      <c r="H4" s="19" t="s">
        <v>61</v>
      </c>
      <c r="I4" s="75" t="s">
        <v>173</v>
      </c>
      <c r="K4" s="76" t="s">
        <v>174</v>
      </c>
      <c r="L4" s="76" t="s">
        <v>175</v>
      </c>
      <c r="M4" s="76" t="s">
        <v>176</v>
      </c>
      <c r="N4" s="78" t="s">
        <v>177</v>
      </c>
    </row>
    <row r="5" spans="2:14" x14ac:dyDescent="0.3">
      <c r="B5" s="50" t="s">
        <v>64</v>
      </c>
      <c r="C5" s="51">
        <v>2.8233333333333328</v>
      </c>
      <c r="D5" s="66" t="s">
        <v>62</v>
      </c>
      <c r="E5" s="74">
        <f>SUMIF(Variables!$B$4:$B$15,Formato!D5,Variables!$C$4:$C$15)</f>
        <v>1.42</v>
      </c>
      <c r="F5" s="67">
        <v>12617</v>
      </c>
      <c r="G5" s="67" t="s">
        <v>121</v>
      </c>
      <c r="H5" s="50">
        <v>2010</v>
      </c>
      <c r="I5" s="84">
        <f>(C5-E5)*((Factores!$E$4*Factores!$L$4)+Factores!$N$4*Factores!$L$20+Factores!$P$4*Factores!$L$21)*Factores!$J$4*F5*Variables!$C$18</f>
        <v>47547.024198959982</v>
      </c>
      <c r="K5" s="77">
        <f>Factores!$J$4*C5*F5*(Factores!$E$4*Factores!$L$4+Factores!$N$4*Factores!$L$20+Factores!$P$4*Factores!$L$21)*Variables!$C$18</f>
        <v>95658.739896719999</v>
      </c>
      <c r="L5" s="77">
        <f>Factores!$J$4*E5*F5*(Factores!$E$4*Factores!$L$4+Factores!$N$4*Factores!$L$20+Factores!$P$4*Factores!$L$21)*Variables!$C$18</f>
        <v>48111.715697760003</v>
      </c>
      <c r="M5" s="77">
        <f t="shared" ref="M5:M8" si="0">K5-L5</f>
        <v>47547.024198959996</v>
      </c>
      <c r="N5" s="77">
        <f>I5-M5</f>
        <v>0</v>
      </c>
    </row>
    <row r="6" spans="2:14" x14ac:dyDescent="0.3">
      <c r="B6" s="50" t="s">
        <v>64</v>
      </c>
      <c r="C6" s="51">
        <v>2.8233333333333328</v>
      </c>
      <c r="D6" s="66" t="s">
        <v>168</v>
      </c>
      <c r="E6" s="74">
        <f>SUMIF(Variables!$B$4:$B$15,Formato!D6,Variables!$C$4:$C$15)</f>
        <v>0.84</v>
      </c>
      <c r="F6" s="67">
        <v>719</v>
      </c>
      <c r="G6" s="67" t="s">
        <v>120</v>
      </c>
      <c r="H6" s="50">
        <v>2010</v>
      </c>
      <c r="I6" s="84">
        <f>(C6-E6)*((Factores!$D$4*Factores!$L$4)+Factores!$N$4*Factores!$L$20+Factores!$P$4*Factores!$L$21)*Factores!$J$4*F6*Variables!$C$18</f>
        <v>4586.8293816799996</v>
      </c>
      <c r="K6" s="77">
        <f>Factores!$J$4*C6*F6*(Factores!$D$4*Factores!$L$4+Factores!$N$4*Factores!$L$20+Factores!$P$4*Factores!$L$21)*Variables!$C$18</f>
        <v>6529.4865315679999</v>
      </c>
      <c r="L6" s="77">
        <f>Factores!$J$4*E6*F6*(Factores!$D$4*Factores!$L$4+Factores!$N$4*Factores!$L$20+Factores!$P$4*Factores!$L$21)*Variables!$C$18</f>
        <v>1942.6571498879998</v>
      </c>
      <c r="M6" s="77">
        <f t="shared" si="0"/>
        <v>4586.8293816799996</v>
      </c>
      <c r="N6" s="77">
        <f t="shared" ref="N6:N14" si="1">I6-M6</f>
        <v>0</v>
      </c>
    </row>
    <row r="7" spans="2:14" x14ac:dyDescent="0.3">
      <c r="B7" s="50" t="s">
        <v>64</v>
      </c>
      <c r="C7" s="51">
        <v>2.8233333333333328</v>
      </c>
      <c r="D7" s="66" t="s">
        <v>168</v>
      </c>
      <c r="E7" s="74">
        <f>SUMIF(Variables!$B$4:$B$15,Formato!D7,Variables!$C$4:$C$15)</f>
        <v>0.84</v>
      </c>
      <c r="F7" s="67">
        <v>4702</v>
      </c>
      <c r="G7" s="67" t="s">
        <v>121</v>
      </c>
      <c r="H7" s="50">
        <v>2010</v>
      </c>
      <c r="I7" s="84">
        <f>(C7-E7)*((Factores!$E$4*Factores!$L$4)+Factores!$N$4*Factores!$L$20+Factores!$P$4*Factores!$L$21)*Factores!$J$4*F7*Variables!$C$18</f>
        <v>25042.906543199992</v>
      </c>
      <c r="K7" s="77">
        <f>Factores!$J$4*C7*F7*(Factores!$E$4*Factores!$L$4+Factores!$N$4*Factores!$L$20+Factores!$P$4*Factores!$L$21)*Variables!$C$18</f>
        <v>35649.314020319995</v>
      </c>
      <c r="L7" s="77">
        <f>Factores!$J$4*E7*F7*(Factores!$E$4*Factores!$L$4+Factores!$N$4*Factores!$L$20+Factores!$P$4*Factores!$L$21)*Variables!$C$18</f>
        <v>10606.407477120001</v>
      </c>
      <c r="M7" s="77">
        <f t="shared" ref="M7" si="2">K7-L7</f>
        <v>25042.906543199992</v>
      </c>
      <c r="N7" s="77">
        <f t="shared" si="1"/>
        <v>0</v>
      </c>
    </row>
    <row r="8" spans="2:14" x14ac:dyDescent="0.3">
      <c r="B8" s="50" t="s">
        <v>64</v>
      </c>
      <c r="C8" s="51">
        <v>2.8233333333333328</v>
      </c>
      <c r="D8" s="66" t="s">
        <v>168</v>
      </c>
      <c r="E8" s="74">
        <f>SUMIF(Variables!$B$4:$B$15,Formato!D8,Variables!$C$4:$C$15)</f>
        <v>0.84</v>
      </c>
      <c r="F8" s="67">
        <v>1094</v>
      </c>
      <c r="G8" s="67" t="s">
        <v>122</v>
      </c>
      <c r="H8" s="50">
        <v>2010</v>
      </c>
      <c r="I8" s="84">
        <f>(C8-E8)*((Factores!$F$4*Factores!$L$4)+Factores!$N$4*Factores!$L$20+Factores!$P$4*Factores!$L$21)*Factores!$J$4*F8*Variables!$C$18</f>
        <v>5250.4222097599995</v>
      </c>
      <c r="K8" s="77">
        <f>Factores!$J$4*C8*F8*(Factores!$F$4*Factores!$L$4+Factores!$N$4*Factores!$L$20+Factores!$P$4*Factores!$L$21)*Variables!$C$18</f>
        <v>7474.1304397760005</v>
      </c>
      <c r="L8" s="77">
        <f>Factores!$J$4*E8*F8*(Factores!$F$4*Factores!$L$4+Factores!$N$4*Factores!$L$20+Factores!$P$4*Factores!$L$21)*Variables!$C$18</f>
        <v>2223.708230016</v>
      </c>
      <c r="M8" s="77">
        <f t="shared" si="0"/>
        <v>5250.4222097600004</v>
      </c>
      <c r="N8" s="77">
        <f t="shared" si="1"/>
        <v>0</v>
      </c>
    </row>
    <row r="9" spans="2:14" x14ac:dyDescent="0.3">
      <c r="B9" s="50" t="s">
        <v>64</v>
      </c>
      <c r="C9" s="51">
        <v>2.8233333333333328</v>
      </c>
      <c r="D9" s="66" t="s">
        <v>170</v>
      </c>
      <c r="E9" s="74">
        <f>SUMIF(Variables!$B$4:$B$15,Formato!D9,Variables!$C$4:$C$15)</f>
        <v>1.8</v>
      </c>
      <c r="F9" s="67">
        <v>1060</v>
      </c>
      <c r="G9" s="67" t="s">
        <v>120</v>
      </c>
      <c r="H9" s="50">
        <v>2010</v>
      </c>
      <c r="I9" s="84">
        <f>(C9-E9)*((Factores!$D$4*Factores!$L$4)+Factores!$N$4*Factores!$L$20+Factores!$P$4*Factores!$L$21)*Factores!$J$4*F9*Variables!$C$18</f>
        <v>3489.0803459199979</v>
      </c>
      <c r="K9" s="77">
        <f>Factores!$J$4*C9*F9*(Factores!$D$4*Factores!$L$4+Factores!$N$4*Factores!$L$20+Factores!$P$4*Factores!$L$21)*Variables!$C$18</f>
        <v>9626.2249283199981</v>
      </c>
      <c r="L9" s="77">
        <f>Factores!$J$4*E9*F9*(Factores!$D$4*Factores!$L$4+Factores!$N$4*Factores!$L$20+Factores!$P$4*Factores!$L$21)*Variables!$C$18</f>
        <v>6137.1445824000002</v>
      </c>
      <c r="M9" s="77">
        <f t="shared" ref="M9:M10" si="3">K9-L9</f>
        <v>3489.0803459199979</v>
      </c>
      <c r="N9" s="77">
        <f t="shared" si="1"/>
        <v>0</v>
      </c>
    </row>
    <row r="10" spans="2:14" x14ac:dyDescent="0.3">
      <c r="B10" s="50" t="s">
        <v>64</v>
      </c>
      <c r="C10" s="51">
        <v>2.8233333333333328</v>
      </c>
      <c r="D10" s="66" t="s">
        <v>167</v>
      </c>
      <c r="E10" s="74">
        <f>SUMIF(Variables!$B$4:$B$15,Formato!D10,Variables!$C$4:$C$15)</f>
        <v>1.53</v>
      </c>
      <c r="F10" s="67">
        <v>703</v>
      </c>
      <c r="G10" s="67" t="s">
        <v>120</v>
      </c>
      <c r="H10" s="50">
        <v>2010</v>
      </c>
      <c r="I10" s="84">
        <f>(C10-E10)*((Factores!$D$4*Factores!$L$4)+Factores!$N$4*Factores!$L$20+Factores!$P$4*Factores!$L$21)*Factores!$J$4*F10*Variables!$C$18</f>
        <v>2924.5145088639988</v>
      </c>
      <c r="K10" s="77">
        <f>Factores!$J$4*C10*F10*(Factores!$D$4*Factores!$L$4+Factores!$N$4*Factores!$L$20+Factores!$P$4*Factores!$L$21)*Variables!$C$18</f>
        <v>6384.1850232159995</v>
      </c>
      <c r="L10" s="77">
        <f>Factores!$J$4*E10*F10*(Factores!$D$4*Factores!$L$4+Factores!$N$4*Factores!$L$20+Factores!$P$4*Factores!$L$21)*Variables!$C$18</f>
        <v>3459.6705143519998</v>
      </c>
      <c r="M10" s="77">
        <f t="shared" si="3"/>
        <v>2924.5145088639997</v>
      </c>
      <c r="N10" s="77">
        <f t="shared" si="1"/>
        <v>0</v>
      </c>
    </row>
    <row r="11" spans="2:14" x14ac:dyDescent="0.3">
      <c r="B11" s="50" t="s">
        <v>64</v>
      </c>
      <c r="C11" s="51">
        <v>2.8233333333333328</v>
      </c>
      <c r="D11" s="66" t="s">
        <v>167</v>
      </c>
      <c r="E11" s="74">
        <f>SUMIF(Variables!$B$4:$B$15,Formato!D11,Variables!$C$4:$C$15)</f>
        <v>1.53</v>
      </c>
      <c r="F11" s="67">
        <v>19526</v>
      </c>
      <c r="G11" s="67" t="s">
        <v>121</v>
      </c>
      <c r="H11" s="50">
        <v>2010</v>
      </c>
      <c r="I11" s="84">
        <f>(C11-E11)*((Factores!$E$4*Factores!$L$4)+Factores!$N$4*Factores!$L$20+Factores!$P$4*Factores!$L$21)*Factores!$J$4*F11*Variables!$C$18</f>
        <v>67815.684992639959</v>
      </c>
      <c r="K11" s="77">
        <f>Factores!$J$4*C11*F11*(Factores!$E$4*Factores!$L$4+Factores!$N$4*Factores!$L$20+Factores!$P$4*Factores!$L$21)*Variables!$C$18</f>
        <v>148040.94120815999</v>
      </c>
      <c r="L11" s="77">
        <f>Factores!$J$4*E11*F11*(Factores!$E$4*Factores!$L$4+Factores!$N$4*Factores!$L$20+Factores!$P$4*Factores!$L$21)*Variables!$C$18</f>
        <v>80225.256215519999</v>
      </c>
      <c r="M11" s="77">
        <f t="shared" ref="M11:M13" si="4">K11-L11</f>
        <v>67815.684992639988</v>
      </c>
      <c r="N11" s="77">
        <f t="shared" si="1"/>
        <v>0</v>
      </c>
    </row>
    <row r="12" spans="2:14" x14ac:dyDescent="0.3">
      <c r="B12" s="50" t="s">
        <v>64</v>
      </c>
      <c r="C12" s="51">
        <v>2.8233333333333301</v>
      </c>
      <c r="D12" s="66" t="s">
        <v>171</v>
      </c>
      <c r="E12" s="74">
        <f>SUMIF(Variables!$B$4:$B$15,Formato!D12,Variables!$C$4:$C$15)</f>
        <v>1.9</v>
      </c>
      <c r="F12" s="67">
        <v>2551</v>
      </c>
      <c r="G12" s="67" t="s">
        <v>120</v>
      </c>
      <c r="H12" s="50">
        <v>2010</v>
      </c>
      <c r="I12" s="84">
        <f>(C12-E12)*((Factores!$D$4*Factores!$L$4)+Factores!$N$4*Factores!$L$20+Factores!$P$4*Factores!$L$21)*Factores!$J$4*F12*Variables!$C$18</f>
        <v>7576.2964095519746</v>
      </c>
      <c r="K12" s="77">
        <f>Factores!$J$4*C12*F12*(Factores!$D$4*Factores!$L$4+Factores!$N$4*Factores!$L$20+Factores!$P$4*Factores!$L$21)*Variables!$C$18</f>
        <v>23166.509237871975</v>
      </c>
      <c r="L12" s="77">
        <f>Factores!$J$4*E12*F12*(Factores!$D$4*Factores!$L$4+Factores!$N$4*Factores!$L$20+Factores!$P$4*Factores!$L$21)*Variables!$C$18</f>
        <v>15590.21282832</v>
      </c>
      <c r="M12" s="77">
        <f t="shared" si="4"/>
        <v>7576.2964095519746</v>
      </c>
      <c r="N12" s="77"/>
    </row>
    <row r="13" spans="2:14" x14ac:dyDescent="0.3">
      <c r="B13" s="50" t="s">
        <v>64</v>
      </c>
      <c r="C13" s="51">
        <v>2.8233333333333301</v>
      </c>
      <c r="D13" s="66" t="s">
        <v>172</v>
      </c>
      <c r="E13" s="74">
        <f>SUMIF(Variables!$B$4:$B$15,Formato!D13,Variables!$C$4:$C$15)</f>
        <v>2</v>
      </c>
      <c r="F13" s="67">
        <v>1446</v>
      </c>
      <c r="G13" s="67" t="s">
        <v>120</v>
      </c>
      <c r="H13" s="50">
        <v>2010</v>
      </c>
      <c r="I13" s="84">
        <f>(C13-E13)*((Factores!$D$4*Factores!$L$4)+Factores!$N$4*Factores!$L$20+Factores!$P$4*Factores!$L$21)*Factores!$J$4*F13*Variables!$C$18</f>
        <v>3829.4109597119855</v>
      </c>
      <c r="K13" s="77">
        <f>Factores!$J$4*C13*F13*(Factores!$D$4*Factores!$L$4+Factores!$N$4*Factores!$L$20+Factores!$P$4*Factores!$L$21)*Variables!$C$18</f>
        <v>13131.623817311985</v>
      </c>
      <c r="L13" s="77">
        <f>Factores!$J$4*E13*F13*(Factores!$D$4*Factores!$L$4+Factores!$N$4*Factores!$L$20+Factores!$P$4*Factores!$L$21)*Variables!$C$18</f>
        <v>9302.2128575999977</v>
      </c>
      <c r="M13" s="77">
        <f t="shared" si="4"/>
        <v>3829.4109597119877</v>
      </c>
      <c r="N13" s="77"/>
    </row>
    <row r="14" spans="2:14" x14ac:dyDescent="0.3">
      <c r="B14" s="50" t="s">
        <v>64</v>
      </c>
      <c r="C14" s="51">
        <v>2.8233333333333328</v>
      </c>
      <c r="D14" s="66" t="s">
        <v>172</v>
      </c>
      <c r="E14" s="74">
        <f>SUMIF(Variables!$B$4:$B$15,Formato!D14,Variables!$C$4:$C$15)</f>
        <v>2</v>
      </c>
      <c r="F14" s="67">
        <v>449</v>
      </c>
      <c r="G14" s="67" t="s">
        <v>121</v>
      </c>
      <c r="H14" s="50">
        <v>2010</v>
      </c>
      <c r="I14" s="84">
        <f>(C14-E14)*((Factores!$E$4*Factores!$L$4)+Factores!$N$4*Factores!$L$20+Factores!$P$4*Factores!$L$21)*Factores!$J$4*F14*Variables!$C$18</f>
        <v>992.72380583999939</v>
      </c>
      <c r="K14" s="77">
        <f>Factores!$J$4*C14*F14*(Factores!$E$4*Factores!$L$4+Factores!$N$4*Factores!$L$20+Factores!$P$4*Factores!$L$21)*Variables!$C$18</f>
        <v>3404.1986378399997</v>
      </c>
      <c r="L14" s="77">
        <f>Factores!$J$4*E14*F14*(Factores!$E$4*Factores!$L$4+Factores!$N$4*Factores!$L$20+Factores!$P$4*Factores!$L$21)*Variables!$C$18</f>
        <v>2411.4748319999999</v>
      </c>
      <c r="M14" s="77">
        <f t="shared" ref="M14" si="5">K14-L14</f>
        <v>992.72380583999984</v>
      </c>
      <c r="N14" s="77">
        <f t="shared" si="1"/>
        <v>0</v>
      </c>
    </row>
    <row r="15" spans="2:14" x14ac:dyDescent="0.3">
      <c r="B15" s="116" t="s">
        <v>178</v>
      </c>
      <c r="C15" s="117"/>
      <c r="D15" s="117"/>
      <c r="E15" s="117"/>
      <c r="F15" s="117"/>
      <c r="G15" s="117"/>
      <c r="H15" s="117"/>
      <c r="I15" s="79">
        <f>SUM(I5:I14)</f>
        <v>169054.89335612793</v>
      </c>
      <c r="K15" s="77"/>
      <c r="L15" s="77"/>
      <c r="M15" s="77"/>
      <c r="N15" s="77"/>
    </row>
    <row r="16" spans="2:14" x14ac:dyDescent="0.3">
      <c r="B16" s="50" t="s">
        <v>64</v>
      </c>
      <c r="C16" s="51">
        <v>2.8233333333333328</v>
      </c>
      <c r="D16" s="66" t="s">
        <v>62</v>
      </c>
      <c r="E16" s="74">
        <f>SUMIF(Variables!$B$4:$B$15,Formato!D16,Variables!$C$4:$C$15)</f>
        <v>1.42</v>
      </c>
      <c r="F16" s="67">
        <v>41203</v>
      </c>
      <c r="G16" s="67" t="s">
        <v>121</v>
      </c>
      <c r="H16" s="50">
        <v>2011</v>
      </c>
      <c r="I16" s="84">
        <f>(C16-E16)*((Factores!$E$5*Factores!$L$4)+Factores!$N$4*Factores!$L$20+Factores!$P$4*Factores!$L$21)*Factores!$J$4*F16*Variables!$C$18</f>
        <v>147595.08648372797</v>
      </c>
      <c r="K16" s="77">
        <f>Factores!$J$4*C16*F16*(Factores!$E$5*Factores!$L$4+Factores!$N$4*Factores!$L$20+Factores!$P$4*Factores!$L$21)*Variables!$C$18</f>
        <v>296943.08373329596</v>
      </c>
      <c r="L16" s="77">
        <f>Factores!$J$4*E16*F16*(Factores!$E$5*Factores!$L$4+Factores!$N$4*Factores!$L$20+Factores!$P$4*Factores!$L$21)*Variables!$C$18</f>
        <v>149347.997249568</v>
      </c>
      <c r="M16" s="77">
        <f t="shared" ref="M16:M17" si="6">K16-L16</f>
        <v>147595.08648372797</v>
      </c>
      <c r="N16" s="77">
        <f>I16-M16</f>
        <v>0</v>
      </c>
    </row>
    <row r="17" spans="2:14" x14ac:dyDescent="0.3">
      <c r="B17" s="50" t="s">
        <v>64</v>
      </c>
      <c r="C17" s="51">
        <v>2.8233333333333328</v>
      </c>
      <c r="D17" s="66" t="s">
        <v>168</v>
      </c>
      <c r="E17" s="74">
        <f>SUMIF(Variables!$B$4:$B$15,Formato!D17,Variables!$C$4:$C$15)</f>
        <v>0.84</v>
      </c>
      <c r="F17" s="67">
        <v>719</v>
      </c>
      <c r="G17" s="67" t="s">
        <v>120</v>
      </c>
      <c r="H17" s="50">
        <v>2011</v>
      </c>
      <c r="I17" s="84">
        <f>(C17-E17)*((Factores!$D$5*Factores!$L$4)+Factores!$N$4*Factores!$L$20+Factores!$P$4*Factores!$L$21)*Factores!$J$4*F17*Variables!$C$18</f>
        <v>4681.5077618399982</v>
      </c>
      <c r="K17" s="77">
        <f>Factores!$J$4*C17*F17*(Factores!$D$5*Factores!$L$4+Factores!$N$4*Factores!$L$20+Factores!$P$4*Factores!$L$21)*Variables!$C$18</f>
        <v>6664.2639903839981</v>
      </c>
      <c r="L17" s="77">
        <f>Factores!$J$4*E17*F17*(Factores!$D$5*Factores!$L$4+Factores!$N$4*Factores!$L$20+Factores!$P$4*Factores!$L$21)*Variables!$C$18</f>
        <v>1982.7562285439997</v>
      </c>
      <c r="M17" s="77">
        <f t="shared" si="6"/>
        <v>4681.5077618399982</v>
      </c>
      <c r="N17" s="77">
        <f t="shared" ref="N17:N80" si="7">I17-M17</f>
        <v>0</v>
      </c>
    </row>
    <row r="18" spans="2:14" x14ac:dyDescent="0.3">
      <c r="B18" s="50" t="s">
        <v>64</v>
      </c>
      <c r="C18" s="51">
        <v>2.8233333333333301</v>
      </c>
      <c r="D18" s="66" t="s">
        <v>168</v>
      </c>
      <c r="E18" s="74">
        <f>SUMIF(Variables!$B$4:$B$15,Formato!D18,Variables!$C$4:$C$15)</f>
        <v>0.84</v>
      </c>
      <c r="F18" s="67">
        <v>4702</v>
      </c>
      <c r="G18" s="67" t="s">
        <v>121</v>
      </c>
      <c r="H18" s="50">
        <v>2011</v>
      </c>
      <c r="I18" s="84">
        <f>(C18-E18)*((Factores!$E$5*Factores!$L$4)+Factores!$N$4*Factores!$L$20+Factores!$P$4*Factores!$L$21)*Factores!$J$4*F18*Variables!$C$18</f>
        <v>23804.581804639958</v>
      </c>
      <c r="K18" s="77">
        <f>Factores!$J$4*C18*F18*(Factores!$E$5*Factores!$L$4+Factores!$N$4*Factores!$L$20+Factores!$P$4*Factores!$L$21)*Variables!$C$18</f>
        <v>33886.522333663968</v>
      </c>
      <c r="L18" s="77">
        <f>Factores!$J$4*E18*F18*(Factores!$E$5*Factores!$L$4+Factores!$N$4*Factores!$L$20+Factores!$P$4*Factores!$L$21)*Variables!$C$18</f>
        <v>10081.940529023999</v>
      </c>
      <c r="M18" s="77">
        <f t="shared" ref="M18" si="8">K18-L18</f>
        <v>23804.581804639969</v>
      </c>
      <c r="N18" s="77">
        <f t="shared" si="7"/>
        <v>0</v>
      </c>
    </row>
    <row r="19" spans="2:14" x14ac:dyDescent="0.3">
      <c r="B19" s="50" t="s">
        <v>64</v>
      </c>
      <c r="C19" s="51">
        <v>2.8233333333333301</v>
      </c>
      <c r="D19" s="66" t="s">
        <v>168</v>
      </c>
      <c r="E19" s="74">
        <f>SUMIF(Variables!$B$4:$B$15,Formato!D19,Variables!$C$4:$C$15)</f>
        <v>0.84</v>
      </c>
      <c r="F19" s="67">
        <v>8030</v>
      </c>
      <c r="G19" s="67" t="s">
        <v>122</v>
      </c>
      <c r="H19" s="50">
        <v>2011</v>
      </c>
      <c r="I19" s="84">
        <f>(C19-E19)*((Factores!$F$5*Factores!$L$4)+Factores!$N$4*Factores!$L$20+Factores!$P$4*Factores!$L$21)*Factores!$J$4*F19*Variables!$C$18</f>
        <v>29021.731138399948</v>
      </c>
      <c r="K19" s="77">
        <f>Factores!$J$4*C19*F19*(Factores!$F$5*Factores!$L$4+Factores!$N$4*Factores!$L$20+Factores!$P$4*Factores!$L$21)*Variables!$C$18</f>
        <v>41313.287855839946</v>
      </c>
      <c r="L19" s="77">
        <f>Factores!$J$4*E19*F19*(Factores!$F$5*Factores!$L$4+Factores!$N$4*Factores!$L$20+Factores!$P$4*Factores!$L$21)*Variables!$C$18</f>
        <v>12291.556717439998</v>
      </c>
      <c r="M19" s="77">
        <f t="shared" ref="M19:M25" si="9">K19-L19</f>
        <v>29021.731138399948</v>
      </c>
      <c r="N19" s="77">
        <f t="shared" si="7"/>
        <v>0</v>
      </c>
    </row>
    <row r="20" spans="2:14" x14ac:dyDescent="0.3">
      <c r="B20" s="50" t="s">
        <v>64</v>
      </c>
      <c r="C20" s="51">
        <v>2.8233333333333301</v>
      </c>
      <c r="D20" s="66" t="s">
        <v>170</v>
      </c>
      <c r="E20" s="74">
        <f>SUMIF(Variables!$B$4:$B$15,Formato!D20,Variables!$C$4:$C$15)</f>
        <v>1.8</v>
      </c>
      <c r="F20" s="67">
        <v>7355</v>
      </c>
      <c r="G20" s="67" t="s">
        <v>120</v>
      </c>
      <c r="H20" s="50">
        <v>2011</v>
      </c>
      <c r="I20" s="84">
        <f>(C20-E20)*((Factores!$D$5*Factores!$L$4)+Factores!$N$4*Factores!$L$20+Factores!$P$4*Factores!$L$21)*Factores!$J$4*F20*Variables!$C$18</f>
        <v>24709.328557679917</v>
      </c>
      <c r="K20" s="77">
        <f>Factores!$J$4*C20*F20*(Factores!$D$5*Factores!$L$4+Factores!$N$4*Factores!$L$20+Factores!$P$4*Factores!$L$21)*Variables!$C$18</f>
        <v>68171.991167279921</v>
      </c>
      <c r="L20" s="77">
        <f>Factores!$J$4*E20*F20*(Factores!$D$5*Factores!$L$4+Factores!$N$4*Factores!$L$20+Factores!$P$4*Factores!$L$21)*Variables!$C$18</f>
        <v>43462.662609599996</v>
      </c>
      <c r="M20" s="77">
        <f t="shared" si="9"/>
        <v>24709.328557679924</v>
      </c>
      <c r="N20" s="77">
        <f t="shared" si="7"/>
        <v>0</v>
      </c>
    </row>
    <row r="21" spans="2:14" x14ac:dyDescent="0.3">
      <c r="B21" s="50" t="s">
        <v>64</v>
      </c>
      <c r="C21" s="51">
        <v>2.8233333333333328</v>
      </c>
      <c r="D21" s="66" t="s">
        <v>167</v>
      </c>
      <c r="E21" s="74">
        <f>SUMIF(Variables!$B$4:$B$15,Formato!D21,Variables!$C$4:$C$15)</f>
        <v>1.53</v>
      </c>
      <c r="F21" s="67">
        <v>703</v>
      </c>
      <c r="G21" s="67" t="s">
        <v>120</v>
      </c>
      <c r="H21" s="50">
        <v>2011</v>
      </c>
      <c r="I21" s="84">
        <f>(C21-E21)*((Factores!$D$5*Factores!$L$4)+Factores!$N$4*Factores!$L$20+Factores!$P$4*Factores!$L$21)*Factores!$J$4*F21*Variables!$C$18</f>
        <v>2984.8804552319984</v>
      </c>
      <c r="K21" s="77">
        <f>Factores!$J$4*C21*F21*(Factores!$D$5*Factores!$L$4+Factores!$N$4*Factores!$L$20+Factores!$P$4*Factores!$L$21)*Variables!$C$18</f>
        <v>6515.9632618079977</v>
      </c>
      <c r="L21" s="77">
        <f>Factores!$J$4*E21*F21*(Factores!$D$5*Factores!$L$4+Factores!$N$4*Factores!$L$20+Factores!$P$4*Factores!$L$21)*Variables!$C$18</f>
        <v>3531.0828065759997</v>
      </c>
      <c r="M21" s="77">
        <f t="shared" si="9"/>
        <v>2984.880455231998</v>
      </c>
      <c r="N21" s="77">
        <f t="shared" si="7"/>
        <v>0</v>
      </c>
    </row>
    <row r="22" spans="2:14" x14ac:dyDescent="0.3">
      <c r="B22" s="50" t="s">
        <v>64</v>
      </c>
      <c r="C22" s="51">
        <v>2.8233333333333328</v>
      </c>
      <c r="D22" s="66" t="s">
        <v>167</v>
      </c>
      <c r="E22" s="74">
        <f>SUMIF(Variables!$B$4:$B$15,Formato!D22,Variables!$C$4:$C$15)</f>
        <v>1.53</v>
      </c>
      <c r="F22" s="67">
        <v>66643</v>
      </c>
      <c r="G22" s="67" t="s">
        <v>121</v>
      </c>
      <c r="H22" s="50">
        <v>2011</v>
      </c>
      <c r="I22" s="84">
        <f>(C22-E22)*((Factores!$E$5*Factores!$L$4)+Factores!$N$4*Factores!$L$20+Factores!$P$4*Factores!$L$21)*Factores!$J$4*F22*Variables!$C$18</f>
        <v>220012.43638150388</v>
      </c>
      <c r="K22" s="77">
        <f>Factores!$J$4*C22*F22*(Factores!$E$5*Factores!$L$4+Factores!$N$4*Factores!$L$20+Factores!$P$4*Factores!$L$21)*Variables!$C$18</f>
        <v>480284.88045137591</v>
      </c>
      <c r="L22" s="77">
        <f>Factores!$J$4*E22*F22*(Factores!$E$5*Factores!$L$4+Factores!$N$4*Factores!$L$20+Factores!$P$4*Factores!$L$21)*Variables!$C$18</f>
        <v>260272.44406987203</v>
      </c>
      <c r="M22" s="77">
        <f t="shared" ref="M22:M24" si="10">K22-L22</f>
        <v>220012.43638150388</v>
      </c>
      <c r="N22" s="77">
        <f t="shared" si="7"/>
        <v>0</v>
      </c>
    </row>
    <row r="23" spans="2:14" x14ac:dyDescent="0.3">
      <c r="B23" s="50" t="s">
        <v>64</v>
      </c>
      <c r="C23" s="51">
        <v>2.8233333333333328</v>
      </c>
      <c r="D23" s="66" t="s">
        <v>171</v>
      </c>
      <c r="E23" s="74">
        <f>SUMIF(Variables!$B$4:$B$15,Formato!D23,Variables!$C$4:$C$15)</f>
        <v>1.9</v>
      </c>
      <c r="F23" s="67">
        <v>2650</v>
      </c>
      <c r="G23" s="67" t="s">
        <v>120</v>
      </c>
      <c r="H23" s="50">
        <v>2011</v>
      </c>
      <c r="I23" s="84">
        <f>(C23-E23)*((Factores!$D$5*Factores!$L$4)+Factores!$N$4*Factores!$L$20+Factores!$P$4*Factores!$L$21)*Factores!$J$4*F23*Variables!$C$18</f>
        <v>8032.7737463999938</v>
      </c>
      <c r="K23" s="77">
        <f>Factores!$J$4*C23*F23*(Factores!$D$5*Factores!$L$4+Factores!$N$4*Factores!$L$20+Factores!$P$4*Factores!$L$21)*Variables!$C$18</f>
        <v>24562.308170399996</v>
      </c>
      <c r="L23" s="77">
        <f>Factores!$J$4*E23*F23*(Factores!$D$5*Factores!$L$4+Factores!$N$4*Factores!$L$20+Factores!$P$4*Factores!$L$21)*Variables!$C$18</f>
        <v>16529.534423999998</v>
      </c>
      <c r="M23" s="77">
        <f t="shared" si="10"/>
        <v>8032.7737463999983</v>
      </c>
      <c r="N23" s="77">
        <f t="shared" si="7"/>
        <v>0</v>
      </c>
    </row>
    <row r="24" spans="2:14" x14ac:dyDescent="0.3">
      <c r="B24" s="50" t="s">
        <v>64</v>
      </c>
      <c r="C24" s="51">
        <v>2.8233333333333328</v>
      </c>
      <c r="D24" s="66" t="s">
        <v>172</v>
      </c>
      <c r="E24" s="74">
        <f>SUMIF(Variables!$B$4:$B$15,Formato!D24,Variables!$C$4:$C$15)</f>
        <v>2</v>
      </c>
      <c r="F24" s="67">
        <v>2422</v>
      </c>
      <c r="G24" s="67" t="s">
        <v>120</v>
      </c>
      <c r="H24" s="50">
        <v>2011</v>
      </c>
      <c r="I24" s="84">
        <f>(C24-E24)*((Factores!$D$5*Factores!$L$4)+Factores!$N$4*Factores!$L$20+Factores!$P$4*Factores!$L$21)*Factores!$J$4*F24*Variables!$C$18</f>
        <v>6546.5273065919946</v>
      </c>
      <c r="K24" s="77">
        <f>Factores!$J$4*C24*F24*(Factores!$D$5*Factores!$L$4+Factores!$N$4*Factores!$L$20+Factores!$P$4*Factores!$L$21)*Variables!$C$18</f>
        <v>22449.022788191993</v>
      </c>
      <c r="L24" s="77">
        <f>Factores!$J$4*E24*F24*(Factores!$D$5*Factores!$L$4+Factores!$N$4*Factores!$L$20+Factores!$P$4*Factores!$L$21)*Variables!$C$18</f>
        <v>15902.495481599997</v>
      </c>
      <c r="M24" s="77">
        <f t="shared" si="10"/>
        <v>6546.5273065919955</v>
      </c>
      <c r="N24" s="77">
        <f t="shared" si="7"/>
        <v>0</v>
      </c>
    </row>
    <row r="25" spans="2:14" x14ac:dyDescent="0.3">
      <c r="B25" s="50" t="s">
        <v>64</v>
      </c>
      <c r="C25" s="51">
        <v>2.8233333333333328</v>
      </c>
      <c r="D25" s="66" t="s">
        <v>172</v>
      </c>
      <c r="E25" s="74">
        <f>SUMIF(Variables!$B$4:$B$15,Formato!D25,Variables!$C$4:$C$15)</f>
        <v>2</v>
      </c>
      <c r="F25" s="67">
        <v>449</v>
      </c>
      <c r="G25" s="67" t="s">
        <v>121</v>
      </c>
      <c r="H25" s="50">
        <v>2011</v>
      </c>
      <c r="I25" s="84">
        <f>(C25-E25)*((Factores!$E$5*Factores!$L$4)+Factores!$N$4*Factores!$L$20+Factores!$P$4*Factores!$L$21)*Factores!$J$4*F25*Variables!$C$18</f>
        <v>943.63547636799922</v>
      </c>
      <c r="K25" s="77">
        <f>Factores!$J$4*C25*F25*(Factores!$E$5*Factores!$L$4+Factores!$N$4*Factores!$L$20+Factores!$P$4*Factores!$L$21)*Variables!$C$18</f>
        <v>3235.8674027679995</v>
      </c>
      <c r="L25" s="77">
        <f>Factores!$J$4*E25*F25*(Factores!$E$5*Factores!$L$4+Factores!$N$4*Factores!$L$20+Factores!$P$4*Factores!$L$21)*Variables!$C$18</f>
        <v>2292.2319263999998</v>
      </c>
      <c r="M25" s="77">
        <f t="shared" si="9"/>
        <v>943.63547636799967</v>
      </c>
      <c r="N25" s="77">
        <f t="shared" si="7"/>
        <v>0</v>
      </c>
    </row>
    <row r="26" spans="2:14" x14ac:dyDescent="0.3">
      <c r="B26" s="50" t="s">
        <v>64</v>
      </c>
      <c r="C26" s="51">
        <v>2.8233333333333328</v>
      </c>
      <c r="D26" s="66" t="s">
        <v>169</v>
      </c>
      <c r="E26" s="74">
        <f>SUMIF(Variables!$B$4:$B$15,Formato!D26,Variables!$C$4:$C$15)</f>
        <v>1.1599999999999999</v>
      </c>
      <c r="F26" s="67">
        <v>7326</v>
      </c>
      <c r="G26" s="67" t="s">
        <v>122</v>
      </c>
      <c r="H26" s="50">
        <v>2011</v>
      </c>
      <c r="I26" s="84">
        <f>(C26-E26)*((Factores!$F$5*Factores!$L$4)+Factores!$N$4*Factores!$L$20+Factores!$P$4*Factores!$L$21)*Factores!$J$4*F26*Variables!$C$18</f>
        <v>22205.382746975989</v>
      </c>
      <c r="K26" s="77">
        <f>Factores!$J$4*C26*F26*(Factores!$F$5*Factores!$L$4+Factores!$N$4*Factores!$L$20+Factores!$P$4*Factores!$L$21)*Variables!$C$18</f>
        <v>37691.300975327984</v>
      </c>
      <c r="L26" s="77">
        <f>Factores!$J$4*E26*F26*(Factores!$F$5*Factores!$L$4+Factores!$N$4*Factores!$L$20+Factores!$P$4*Factores!$L$21)*Variables!$C$18</f>
        <v>15485.918228351997</v>
      </c>
      <c r="M26" s="77">
        <f t="shared" ref="M26" si="11">K26-L26</f>
        <v>22205.382746975985</v>
      </c>
      <c r="N26" s="77">
        <f t="shared" si="7"/>
        <v>0</v>
      </c>
    </row>
    <row r="27" spans="2:14" x14ac:dyDescent="0.3">
      <c r="B27" s="116" t="s">
        <v>178</v>
      </c>
      <c r="C27" s="117"/>
      <c r="D27" s="117"/>
      <c r="E27" s="117"/>
      <c r="F27" s="117"/>
      <c r="G27" s="117"/>
      <c r="H27" s="117"/>
      <c r="I27" s="118">
        <f>SUM(I16:I26)</f>
        <v>490537.87185935961</v>
      </c>
    </row>
    <row r="28" spans="2:14" x14ac:dyDescent="0.3">
      <c r="B28" s="50" t="s">
        <v>64</v>
      </c>
      <c r="C28" s="51">
        <v>2.8233333333333328</v>
      </c>
      <c r="D28" s="66" t="s">
        <v>183</v>
      </c>
      <c r="E28" s="74">
        <f>SUMIF(Variables!$B$4:$B$15,Formato!D28,Variables!$C$4:$C$15)</f>
        <v>1.92</v>
      </c>
      <c r="F28" s="67">
        <v>6</v>
      </c>
      <c r="G28" s="67" t="s">
        <v>121</v>
      </c>
      <c r="H28" s="50">
        <v>2012</v>
      </c>
      <c r="I28" s="84">
        <f>(C28-E28)*((Factores!$E$6*Factores!$L$4)+Factores!$N$4*Factores!$L$20+Factores!$P$4*Factores!$L$21)*Factores!$J$4*F28*Variables!$C$18</f>
        <v>13.835074655999991</v>
      </c>
      <c r="K28" s="77">
        <f>Factores!$J$4*C28*F28*(Factores!$E$6*Factores!$L$4+Factores!$N$4*Factores!$L$20+Factores!$P$4*Factores!$L$21)*Variables!$C$18</f>
        <v>43.240989791999986</v>
      </c>
      <c r="L28" s="77">
        <f>Factores!$J$4*E28*F28*(Factores!$E$6*Factores!$L$4+Factores!$N$4*Factores!$L$20+Factores!$P$4*Factores!$L$21)*Variables!$C$18</f>
        <v>29.405915135999997</v>
      </c>
      <c r="M28" s="77">
        <f t="shared" ref="M28:M30" si="12">K28-L28</f>
        <v>13.835074655999989</v>
      </c>
      <c r="N28" s="77">
        <f t="shared" si="7"/>
        <v>0</v>
      </c>
    </row>
    <row r="29" spans="2:14" x14ac:dyDescent="0.3">
      <c r="B29" s="50" t="s">
        <v>64</v>
      </c>
      <c r="C29" s="51">
        <v>2.8233333333333328</v>
      </c>
      <c r="D29" s="66" t="s">
        <v>62</v>
      </c>
      <c r="E29" s="74">
        <f>SUMIF(Variables!$B$4:$B$15,Formato!D29,Variables!$C$4:$C$15)</f>
        <v>1.42</v>
      </c>
      <c r="F29" s="67">
        <v>44022</v>
      </c>
      <c r="G29" s="67" t="s">
        <v>121</v>
      </c>
      <c r="H29" s="50">
        <v>2012</v>
      </c>
      <c r="I29" s="84">
        <f>(C29-E29)*((Factores!$E$6*Factores!$L$4)+Factores!$N$4*Factores!$L$20+Factores!$P$4*Factores!$L$21)*Factores!$J$4*F29*Variables!$C$18</f>
        <v>157693.15091587196</v>
      </c>
      <c r="K29" s="77">
        <f>Factores!$J$4*C29*F29*(Factores!$E$6*Factores!$L$4+Factores!$N$4*Factores!$L$20+Factores!$P$4*Factores!$L$21)*Variables!$C$18</f>
        <v>317259.14210390393</v>
      </c>
      <c r="L29" s="77">
        <f>Factores!$J$4*E29*F29*(Factores!$E$6*Factores!$L$4+Factores!$N$4*Factores!$L$20+Factores!$P$4*Factores!$L$21)*Variables!$C$18</f>
        <v>159565.991188032</v>
      </c>
      <c r="M29" s="77">
        <f t="shared" ref="M29" si="13">K29-L29</f>
        <v>157693.15091587193</v>
      </c>
      <c r="N29" s="77">
        <f t="shared" si="7"/>
        <v>0</v>
      </c>
    </row>
    <row r="30" spans="2:14" x14ac:dyDescent="0.3">
      <c r="B30" s="50" t="s">
        <v>64</v>
      </c>
      <c r="C30" s="51">
        <v>2.8233333333333301</v>
      </c>
      <c r="D30" s="66" t="s">
        <v>168</v>
      </c>
      <c r="E30" s="74">
        <f>SUMIF(Variables!$B$4:$B$15,Formato!D30,Variables!$C$4:$C$15)</f>
        <v>0.84</v>
      </c>
      <c r="F30" s="67">
        <v>719</v>
      </c>
      <c r="G30" s="67" t="s">
        <v>120</v>
      </c>
      <c r="H30" s="50">
        <v>2012</v>
      </c>
      <c r="I30" s="84">
        <f>(C30-E30)*((Factores!$D$6*Factores!$L$4)+Factores!$N$4*Factores!$L$20+Factores!$P$4*Factores!$L$21)*Factores!$J$4*F30*Variables!$C$18</f>
        <v>4776.1861419999923</v>
      </c>
      <c r="K30" s="77">
        <f>Factores!$J$4*C30*F30*(Factores!$D$6*Factores!$L$4+Factores!$N$4*Factores!$L$20+Factores!$P$4*Factores!$L$21)*Variables!$C$18</f>
        <v>6799.0414491999918</v>
      </c>
      <c r="L30" s="77">
        <f>Factores!$J$4*E30*F30*(Factores!$D$6*Factores!$L$4+Factores!$N$4*Factores!$L$20+Factores!$P$4*Factores!$L$21)*Variables!$C$18</f>
        <v>2022.8553071999997</v>
      </c>
      <c r="M30" s="77">
        <f t="shared" si="12"/>
        <v>4776.1861419999923</v>
      </c>
      <c r="N30" s="77">
        <f t="shared" si="7"/>
        <v>0</v>
      </c>
    </row>
    <row r="31" spans="2:14" x14ac:dyDescent="0.3">
      <c r="B31" s="50" t="s">
        <v>64</v>
      </c>
      <c r="C31" s="51">
        <v>2.8233333333333301</v>
      </c>
      <c r="D31" s="66" t="s">
        <v>168</v>
      </c>
      <c r="E31" s="74">
        <f>SUMIF(Variables!$B$4:$B$15,Formato!D31,Variables!$C$4:$C$15)</f>
        <v>0.84</v>
      </c>
      <c r="F31" s="67">
        <v>4702</v>
      </c>
      <c r="G31" s="67" t="s">
        <v>121</v>
      </c>
      <c r="H31" s="50">
        <v>2012</v>
      </c>
      <c r="I31" s="84">
        <f>(C31-E31)*((Factores!$E$6*Factores!$L$4)+Factores!$N$4*Factores!$L$20+Factores!$P$4*Factores!$L$21)*Factores!$J$4*F31*Variables!$C$18</f>
        <v>23804.581804639958</v>
      </c>
      <c r="K31" s="77">
        <f>Factores!$J$4*C31*F31*(Factores!$E$6*Factores!$L$4+Factores!$N$4*Factores!$L$20+Factores!$P$4*Factores!$L$21)*Variables!$C$18</f>
        <v>33886.522333663968</v>
      </c>
      <c r="L31" s="77">
        <f>Factores!$J$4*E31*F31*(Factores!$E$6*Factores!$L$4+Factores!$N$4*Factores!$L$20+Factores!$P$4*Factores!$L$21)*Variables!$C$18</f>
        <v>10081.940529023999</v>
      </c>
      <c r="M31" s="77">
        <f t="shared" ref="M31" si="14">K31-L31</f>
        <v>23804.581804639969</v>
      </c>
      <c r="N31" s="77">
        <f t="shared" si="7"/>
        <v>0</v>
      </c>
    </row>
    <row r="32" spans="2:14" x14ac:dyDescent="0.3">
      <c r="B32" s="50" t="s">
        <v>64</v>
      </c>
      <c r="C32" s="51">
        <v>2.8233333333333301</v>
      </c>
      <c r="D32" s="66" t="s">
        <v>168</v>
      </c>
      <c r="E32" s="74">
        <f>SUMIF(Variables!$B$4:$B$15,Formato!D32,Variables!$C$4:$C$15)</f>
        <v>0.84</v>
      </c>
      <c r="F32" s="67">
        <v>8659</v>
      </c>
      <c r="G32" s="67" t="s">
        <v>122</v>
      </c>
      <c r="H32" s="50">
        <v>2012</v>
      </c>
      <c r="I32" s="84">
        <f>(C32-E32)*((Factores!$F$6*Factores!$L$4)+Factores!$N$4*Factores!$L$20+Factores!$P$4*Factores!$L$21)*Factores!$J$4*F32*Variables!$C$18</f>
        <v>31295.039841519949</v>
      </c>
      <c r="K32" s="77">
        <f>Factores!$J$4*C32*F32*(Factores!$F$6*Factores!$L$4+Factores!$N$4*Factores!$L$20+Factores!$P$4*Factores!$L$21)*Variables!$C$18</f>
        <v>44549.409656751945</v>
      </c>
      <c r="L32" s="77">
        <f>Factores!$J$4*E32*F32*(Factores!$F$6*Factores!$L$4+Factores!$N$4*Factores!$L$20+Factores!$P$4*Factores!$L$21)*Variables!$C$18</f>
        <v>13254.369815231998</v>
      </c>
      <c r="M32" s="77">
        <f t="shared" ref="M32:M35" si="15">K32-L32</f>
        <v>31295.039841519945</v>
      </c>
      <c r="N32" s="77">
        <f t="shared" si="7"/>
        <v>0</v>
      </c>
    </row>
    <row r="33" spans="2:14" x14ac:dyDescent="0.3">
      <c r="B33" s="50" t="s">
        <v>64</v>
      </c>
      <c r="C33" s="51">
        <v>2.8233333333333328</v>
      </c>
      <c r="D33" s="66" t="s">
        <v>170</v>
      </c>
      <c r="E33" s="74">
        <f>SUMIF(Variables!$B$4:$B$15,Formato!D33,Variables!$C$4:$C$15)</f>
        <v>1.8</v>
      </c>
      <c r="F33" s="67">
        <v>10845</v>
      </c>
      <c r="G33" s="67" t="s">
        <v>120</v>
      </c>
      <c r="H33" s="50">
        <v>2012</v>
      </c>
      <c r="I33" s="84">
        <f>(C33-E33)*((Factores!$D$6*Factores!$L$4)+Factores!$N$4*Factores!$L$20+Factores!$P$4*Factores!$L$21)*Factores!$J$4*F33*Variables!$C$18</f>
        <v>37170.920825999972</v>
      </c>
      <c r="K33" s="77">
        <f>Factores!$J$4*C33*F33*(Factores!$D$6*Factores!$L$4+Factores!$N$4*Factores!$L$20+Factores!$P$4*Factores!$L$21)*Variables!$C$18</f>
        <v>102552.99654599998</v>
      </c>
      <c r="L33" s="77">
        <f>Factores!$J$4*E33*F33*(Factores!$D$6*Factores!$L$4+Factores!$N$4*Factores!$L$20+Factores!$P$4*Factores!$L$21)*Variables!$C$18</f>
        <v>65382.075720000001</v>
      </c>
      <c r="M33" s="77">
        <f t="shared" si="15"/>
        <v>37170.92082599998</v>
      </c>
      <c r="N33" s="77">
        <f t="shared" si="7"/>
        <v>0</v>
      </c>
    </row>
    <row r="34" spans="2:14" x14ac:dyDescent="0.3">
      <c r="B34" s="50" t="s">
        <v>64</v>
      </c>
      <c r="C34" s="51">
        <v>2.8233333333333301</v>
      </c>
      <c r="D34" s="66" t="s">
        <v>170</v>
      </c>
      <c r="E34" s="74">
        <f>SUMIF(Variables!$B$4:$B$15,Formato!D34,Variables!$C$4:$C$15)</f>
        <v>1.8</v>
      </c>
      <c r="F34" s="67">
        <v>79</v>
      </c>
      <c r="G34" s="67" t="s">
        <v>121</v>
      </c>
      <c r="H34" s="50">
        <v>2012</v>
      </c>
      <c r="I34" s="84">
        <f>(C34-E34)*((Factores!$E$6*Factores!$L$4)+Factores!$N$4*Factores!$L$20+Factores!$P$4*Factores!$L$21)*Factores!$J$4*F34*Variables!$C$18</f>
        <v>206.36043396799934</v>
      </c>
      <c r="K34" s="77">
        <f>Factores!$J$4*C34*F34*(Factores!$E$6*Factores!$L$4+Factores!$N$4*Factores!$L$20+Factores!$P$4*Factores!$L$21)*Variables!$C$18</f>
        <v>569.33969892799939</v>
      </c>
      <c r="L34" s="77">
        <f>Factores!$J$4*E34*F34*(Factores!$E$6*Factores!$L$4+Factores!$N$4*Factores!$L$20+Factores!$P$4*Factores!$L$21)*Variables!$C$18</f>
        <v>362.97926496000002</v>
      </c>
      <c r="M34" s="77">
        <f t="shared" si="15"/>
        <v>206.36043396799937</v>
      </c>
      <c r="N34" s="77">
        <f t="shared" si="7"/>
        <v>0</v>
      </c>
    </row>
    <row r="35" spans="2:14" x14ac:dyDescent="0.3">
      <c r="B35" s="50" t="s">
        <v>64</v>
      </c>
      <c r="C35" s="51">
        <v>2.8233333333333301</v>
      </c>
      <c r="D35" s="66" t="s">
        <v>167</v>
      </c>
      <c r="E35" s="74">
        <f>SUMIF(Variables!$B$4:$B$15,Formato!D35,Variables!$C$4:$C$15)</f>
        <v>1.53</v>
      </c>
      <c r="F35" s="67">
        <v>703</v>
      </c>
      <c r="G35" s="67" t="s">
        <v>120</v>
      </c>
      <c r="H35" s="50">
        <v>2012</v>
      </c>
      <c r="I35" s="84">
        <f>(C35-E35)*((Factores!$D$6*Factores!$L$4)+Factores!$N$4*Factores!$L$20+Factores!$P$4*Factores!$L$21)*Factores!$J$4*F35*Variables!$C$18</f>
        <v>3045.2464015999926</v>
      </c>
      <c r="K35" s="77">
        <f>Factores!$J$4*C35*F35*(Factores!$D$6*Factores!$L$4+Factores!$N$4*Factores!$L$20+Factores!$P$4*Factores!$L$21)*Variables!$C$18</f>
        <v>6647.7415003999922</v>
      </c>
      <c r="L35" s="77">
        <f>Factores!$J$4*E35*F35*(Factores!$D$6*Factores!$L$4+Factores!$N$4*Factores!$L$20+Factores!$P$4*Factores!$L$21)*Variables!$C$18</f>
        <v>3602.4950988000001</v>
      </c>
      <c r="M35" s="77">
        <f t="shared" si="15"/>
        <v>3045.2464015999922</v>
      </c>
      <c r="N35" s="77">
        <f t="shared" si="7"/>
        <v>0</v>
      </c>
    </row>
    <row r="36" spans="2:14" x14ac:dyDescent="0.3">
      <c r="B36" s="50" t="s">
        <v>64</v>
      </c>
      <c r="C36" s="51">
        <v>2.8233333333333301</v>
      </c>
      <c r="D36" s="66" t="s">
        <v>167</v>
      </c>
      <c r="E36" s="74">
        <f>SUMIF(Variables!$B$4:$B$15,Formato!D36,Variables!$C$4:$C$15)</f>
        <v>1.53</v>
      </c>
      <c r="F36" s="67">
        <v>66643</v>
      </c>
      <c r="G36" s="67" t="s">
        <v>121</v>
      </c>
      <c r="H36" s="50">
        <v>2012</v>
      </c>
      <c r="I36" s="84">
        <f>(C36-E36)*((Factores!$E$6*Factores!$L$4)+Factores!$N$4*Factores!$L$20+Factores!$P$4*Factores!$L$21)*Factores!$J$4*F36*Variables!$C$18</f>
        <v>220012.43638150344</v>
      </c>
      <c r="K36" s="77">
        <f>Factores!$J$4*C36*F36*(Factores!$E$6*Factores!$L$4+Factores!$N$4*Factores!$L$20+Factores!$P$4*Factores!$L$21)*Variables!$C$18</f>
        <v>480284.88045137544</v>
      </c>
      <c r="L36" s="77">
        <f>Factores!$J$4*E36*F36*(Factores!$E$6*Factores!$L$4+Factores!$N$4*Factores!$L$20+Factores!$P$4*Factores!$L$21)*Variables!$C$18</f>
        <v>260272.44406987203</v>
      </c>
      <c r="M36" s="77">
        <f t="shared" ref="M36:M38" si="16">K36-L36</f>
        <v>220012.43638150342</v>
      </c>
      <c r="N36" s="77">
        <f t="shared" si="7"/>
        <v>0</v>
      </c>
    </row>
    <row r="37" spans="2:14" x14ac:dyDescent="0.3">
      <c r="B37" s="50" t="s">
        <v>64</v>
      </c>
      <c r="C37" s="51">
        <v>2.8233333333333328</v>
      </c>
      <c r="D37" s="66" t="s">
        <v>171</v>
      </c>
      <c r="E37" s="74">
        <f>SUMIF(Variables!$B$4:$B$15,Formato!D37,Variables!$C$4:$C$15)</f>
        <v>1.9</v>
      </c>
      <c r="F37" s="67">
        <v>3379</v>
      </c>
      <c r="G37" s="67" t="s">
        <v>120</v>
      </c>
      <c r="H37" s="50">
        <v>2012</v>
      </c>
      <c r="I37" s="84">
        <f>(C37-E37)*((Factores!$D$6*Factores!$L$4)+Factores!$N$4*Factores!$L$20+Factores!$P$4*Factores!$L$21)*Factores!$J$4*F37*Variables!$C$18</f>
        <v>10449.688605199995</v>
      </c>
      <c r="K37" s="77">
        <f>Factores!$J$4*C37*F37*(Factores!$D$6*Factores!$L$4+Factores!$N$4*Factores!$L$20+Factores!$P$4*Factores!$L$21)*Variables!$C$18</f>
        <v>31952.657937199994</v>
      </c>
      <c r="L37" s="77">
        <f>Factores!$J$4*E37*F37*(Factores!$D$6*Factores!$L$4+Factores!$N$4*Factores!$L$20+Factores!$P$4*Factores!$L$21)*Variables!$C$18</f>
        <v>21502.969331999997</v>
      </c>
      <c r="M37" s="77">
        <f t="shared" si="16"/>
        <v>10449.688605199997</v>
      </c>
      <c r="N37" s="77">
        <f t="shared" si="7"/>
        <v>0</v>
      </c>
    </row>
    <row r="38" spans="2:14" x14ac:dyDescent="0.3">
      <c r="B38" s="50" t="s">
        <v>64</v>
      </c>
      <c r="C38" s="51">
        <v>2.8233333333333301</v>
      </c>
      <c r="D38" s="66" t="s">
        <v>172</v>
      </c>
      <c r="E38" s="74">
        <f>SUMIF(Variables!$B$4:$B$15,Formato!D38,Variables!$C$4:$C$15)</f>
        <v>2</v>
      </c>
      <c r="F38" s="67">
        <v>2422</v>
      </c>
      <c r="G38" s="67" t="s">
        <v>120</v>
      </c>
      <c r="H38" s="50">
        <v>2012</v>
      </c>
      <c r="I38" s="84">
        <f>(C38-E38)*((Factores!$D$6*Factores!$L$4)+Factores!$N$4*Factores!$L$20+Factores!$P$4*Factores!$L$21)*Factores!$J$4*F38*Variables!$C$18</f>
        <v>6678.9236695999734</v>
      </c>
      <c r="K38" s="77">
        <f>Factores!$J$4*C38*F38*(Factores!$D$6*Factores!$L$4+Factores!$N$4*Factores!$L$20+Factores!$P$4*Factores!$L$21)*Variables!$C$18</f>
        <v>22903.029749599973</v>
      </c>
      <c r="L38" s="77">
        <f>Factores!$J$4*E38*F38*(Factores!$D$6*Factores!$L$4+Factores!$N$4*Factores!$L$20+Factores!$P$4*Factores!$L$21)*Variables!$C$18</f>
        <v>16224.106080000001</v>
      </c>
      <c r="M38" s="77">
        <f t="shared" si="16"/>
        <v>6678.9236695999716</v>
      </c>
      <c r="N38" s="77">
        <f t="shared" si="7"/>
        <v>0</v>
      </c>
    </row>
    <row r="39" spans="2:14" x14ac:dyDescent="0.3">
      <c r="B39" s="50" t="s">
        <v>64</v>
      </c>
      <c r="C39" s="51">
        <v>2.8233333333333301</v>
      </c>
      <c r="D39" s="66" t="s">
        <v>172</v>
      </c>
      <c r="E39" s="74">
        <f>SUMIF(Variables!$B$4:$B$15,Formato!D39,Variables!$C$4:$C$15)</f>
        <v>2</v>
      </c>
      <c r="F39" s="67">
        <v>455</v>
      </c>
      <c r="G39" s="67" t="s">
        <v>121</v>
      </c>
      <c r="H39" s="50">
        <v>2012</v>
      </c>
      <c r="I39" s="84">
        <f>(C39-E39)*((Factores!$E$6*Factores!$L$4)+Factores!$N$4*Factores!$L$20+Factores!$P$4*Factores!$L$21)*Factores!$J$4*F39*Variables!$C$18</f>
        <v>956.24530455999638</v>
      </c>
      <c r="K39" s="77">
        <f>Factores!$J$4*C39*F39*(Factores!$E$6*Factores!$L$4+Factores!$N$4*Factores!$L$20+Factores!$P$4*Factores!$L$21)*Variables!$C$18</f>
        <v>3279.1083925599964</v>
      </c>
      <c r="L39" s="77">
        <f>Factores!$J$4*E39*F39*(Factores!$E$6*Factores!$L$4+Factores!$N$4*Factores!$L$20+Factores!$P$4*Factores!$L$21)*Variables!$C$18</f>
        <v>2322.8630880000001</v>
      </c>
      <c r="M39" s="77">
        <f t="shared" ref="M39" si="17">K39-L39</f>
        <v>956.24530455999638</v>
      </c>
      <c r="N39" s="77">
        <f t="shared" si="7"/>
        <v>0</v>
      </c>
    </row>
    <row r="40" spans="2:14" x14ac:dyDescent="0.3">
      <c r="B40" s="50" t="s">
        <v>64</v>
      </c>
      <c r="C40" s="51">
        <v>2.8233333333333301</v>
      </c>
      <c r="D40" s="66" t="s">
        <v>169</v>
      </c>
      <c r="E40" s="74">
        <f>SUMIF(Variables!$B$4:$B$15,Formato!D40,Variables!$C$4:$C$15)</f>
        <v>1.1599999999999999</v>
      </c>
      <c r="F40" s="67">
        <v>7326</v>
      </c>
      <c r="G40" s="67" t="s">
        <v>122</v>
      </c>
      <c r="H40" s="50">
        <v>2012</v>
      </c>
      <c r="I40" s="84">
        <f>(C40-E40)*((Factores!$F$6*Factores!$L$4)+Factores!$N$4*Factores!$L$20+Factores!$P$4*Factores!$L$21)*Factores!$J$4*F40*Variables!$C$18</f>
        <v>22205.382746975956</v>
      </c>
      <c r="K40" s="77">
        <f>Factores!$J$4*C40*F40*(Factores!$F$6*Factores!$L$4+Factores!$N$4*Factores!$L$20+Factores!$P$4*Factores!$L$21)*Variables!$C$18</f>
        <v>37691.300975327955</v>
      </c>
      <c r="L40" s="77">
        <f>Factores!$J$4*E40*F40*(Factores!$F$6*Factores!$L$4+Factores!$N$4*Factores!$L$20+Factores!$P$4*Factores!$L$21)*Variables!$C$18</f>
        <v>15485.918228351997</v>
      </c>
      <c r="M40" s="77">
        <f t="shared" ref="M40" si="18">K40-L40</f>
        <v>22205.382746975956</v>
      </c>
      <c r="N40" s="77">
        <f t="shared" si="7"/>
        <v>0</v>
      </c>
    </row>
    <row r="41" spans="2:14" x14ac:dyDescent="0.3">
      <c r="B41" s="116" t="s">
        <v>178</v>
      </c>
      <c r="C41" s="117"/>
      <c r="D41" s="117"/>
      <c r="E41" s="117"/>
      <c r="F41" s="117"/>
      <c r="G41" s="117"/>
      <c r="H41" s="117"/>
      <c r="I41" s="80">
        <f>SUM(I28:I40)</f>
        <v>518307.9981480951</v>
      </c>
    </row>
    <row r="42" spans="2:14" x14ac:dyDescent="0.3">
      <c r="B42" s="50" t="s">
        <v>64</v>
      </c>
      <c r="C42" s="51">
        <v>2.8233333333333328</v>
      </c>
      <c r="D42" s="66" t="s">
        <v>183</v>
      </c>
      <c r="E42" s="74">
        <f>SUMIF(Variables!$B$4:$B$15,Formato!D42,Variables!$C$4:$C$15)</f>
        <v>1.92</v>
      </c>
      <c r="F42" s="67">
        <v>6</v>
      </c>
      <c r="G42" s="67" t="s">
        <v>121</v>
      </c>
      <c r="H42" s="50">
        <v>2013</v>
      </c>
      <c r="I42" s="84">
        <f>(C42-E42)*((Factores!$E$7*Factores!$L$4)+Factores!$N$4*Factores!$L$20+Factores!$P$4*Factores!$L$21)*Factores!$J$4*F42*Variables!$C$18</f>
        <v>13.835074655999991</v>
      </c>
      <c r="K42" s="77">
        <f>Factores!$J$4*C42*F42*(Factores!$E$7*Factores!$L$4+Factores!$N$4*Factores!$L$20+Factores!$P$4*Factores!$L$21)*Variables!$C$18</f>
        <v>43.240989791999986</v>
      </c>
      <c r="L42" s="77">
        <f>Factores!$J$4*E42*F42*(Factores!$E$7*Factores!$L$4+Factores!$N$4*Factores!$L$20+Factores!$P$4*Factores!$L$21)*Variables!$C$18</f>
        <v>29.405915135999997</v>
      </c>
      <c r="M42" s="77">
        <f t="shared" ref="M42" si="19">K42-L42</f>
        <v>13.835074655999989</v>
      </c>
      <c r="N42" s="77">
        <f t="shared" si="7"/>
        <v>0</v>
      </c>
    </row>
    <row r="43" spans="2:14" x14ac:dyDescent="0.3">
      <c r="B43" s="50" t="s">
        <v>64</v>
      </c>
      <c r="C43" s="51">
        <v>2.8233333333333328</v>
      </c>
      <c r="D43" s="66" t="s">
        <v>62</v>
      </c>
      <c r="E43" s="74">
        <f>SUMIF(Variables!$B$4:$B$15,Formato!D43,Variables!$C$4:$C$15)</f>
        <v>1.42</v>
      </c>
      <c r="F43" s="67">
        <v>54740</v>
      </c>
      <c r="G43" s="67" t="s">
        <v>121</v>
      </c>
      <c r="H43" s="50">
        <v>2013</v>
      </c>
      <c r="I43" s="84">
        <f>(C43-E43)*((Factores!$E$7*Factores!$L$4)+Factores!$N$4*Factores!$L$20+Factores!$P$4*Factores!$L$21)*Factores!$J$4*F43*Variables!$C$18</f>
        <v>196086.57219423994</v>
      </c>
      <c r="K43" s="77">
        <f>Factores!$J$4*C43*F43*(Factores!$E$7*Factores!$L$4+Factores!$N$4*Factores!$L$20+Factores!$P$4*Factores!$L$21)*Variables!$C$18</f>
        <v>394501.96353567997</v>
      </c>
      <c r="L43" s="77">
        <f>Factores!$J$4*E43*F43*(Factores!$E$7*Factores!$L$4+Factores!$N$4*Factores!$L$20+Factores!$P$4*Factores!$L$21)*Variables!$C$18</f>
        <v>198415.39134143997</v>
      </c>
      <c r="M43" s="77">
        <f t="shared" ref="M43" si="20">K43-L43</f>
        <v>196086.57219424</v>
      </c>
      <c r="N43" s="77">
        <f t="shared" si="7"/>
        <v>0</v>
      </c>
    </row>
    <row r="44" spans="2:14" x14ac:dyDescent="0.3">
      <c r="B44" s="50" t="s">
        <v>64</v>
      </c>
      <c r="C44" s="51">
        <v>2.8233333333333328</v>
      </c>
      <c r="D44" s="66" t="s">
        <v>168</v>
      </c>
      <c r="E44" s="74">
        <f>SUMIF(Variables!$B$4:$B$15,Formato!D44,Variables!$C$4:$C$15)</f>
        <v>0.84</v>
      </c>
      <c r="F44" s="67">
        <v>1620</v>
      </c>
      <c r="G44" s="67" t="s">
        <v>120</v>
      </c>
      <c r="H44" s="50">
        <v>2013</v>
      </c>
      <c r="I44" s="84">
        <f>(C44-E44)*((Factores!$D$7*Factores!$L$4)+Factores!$N$4*Factores!$L$20+Factores!$P$4*Factores!$L$21)*Factores!$J$4*F44*Variables!$C$18</f>
        <v>10761.365159999996</v>
      </c>
      <c r="K44" s="77">
        <f>Factores!$J$4*C44*F44*(Factores!$D$7*Factores!$L$4+Factores!$N$4*Factores!$L$20+Factores!$P$4*Factores!$L$21)*Variables!$C$18</f>
        <v>15319.119815999997</v>
      </c>
      <c r="L44" s="77">
        <f>Factores!$J$4*E44*F44*(Factores!$D$7*Factores!$L$4+Factores!$N$4*Factores!$L$20+Factores!$P$4*Factores!$L$21)*Variables!$C$18</f>
        <v>4557.7546559999992</v>
      </c>
      <c r="M44" s="77">
        <f t="shared" ref="M44:M45" si="21">K44-L44</f>
        <v>10761.365159999998</v>
      </c>
      <c r="N44" s="77">
        <f t="shared" si="7"/>
        <v>0</v>
      </c>
    </row>
    <row r="45" spans="2:14" x14ac:dyDescent="0.3">
      <c r="B45" s="50" t="s">
        <v>64</v>
      </c>
      <c r="C45" s="51">
        <v>2.8233333333333328</v>
      </c>
      <c r="D45" s="66" t="s">
        <v>168</v>
      </c>
      <c r="E45" s="74">
        <f>SUMIF(Variables!$B$4:$B$15,Formato!D45,Variables!$C$4:$C$15)</f>
        <v>0.84</v>
      </c>
      <c r="F45" s="67">
        <v>7541</v>
      </c>
      <c r="G45" s="67" t="s">
        <v>121</v>
      </c>
      <c r="H45" s="50">
        <v>2013</v>
      </c>
      <c r="I45" s="84">
        <f>(C45-E45)*((Factores!$E$7*Factores!$L$4)+Factores!$N$4*Factores!$L$20+Factores!$P$4*Factores!$L$21)*Factores!$J$4*F45*Variables!$C$18</f>
        <v>38177.446063119991</v>
      </c>
      <c r="K45" s="77">
        <f>Factores!$J$4*C45*F45*(Factores!$E$7*Factores!$L$4+Factores!$N$4*Factores!$L$20+Factores!$P$4*Factores!$L$21)*Variables!$C$18</f>
        <v>54346.717336911992</v>
      </c>
      <c r="L45" s="77">
        <f>Factores!$J$4*E45*F45*(Factores!$E$7*Factores!$L$4+Factores!$N$4*Factores!$L$20+Factores!$P$4*Factores!$L$21)*Variables!$C$18</f>
        <v>16169.271273791999</v>
      </c>
      <c r="M45" s="77">
        <f t="shared" si="21"/>
        <v>38177.446063119991</v>
      </c>
      <c r="N45" s="77">
        <f t="shared" si="7"/>
        <v>0</v>
      </c>
    </row>
    <row r="46" spans="2:14" x14ac:dyDescent="0.3">
      <c r="B46" s="50" t="s">
        <v>64</v>
      </c>
      <c r="C46" s="51">
        <v>2.8233333333333301</v>
      </c>
      <c r="D46" s="66" t="s">
        <v>168</v>
      </c>
      <c r="E46" s="74">
        <f>SUMIF(Variables!$B$4:$B$15,Formato!D46,Variables!$C$4:$C$15)</f>
        <v>0.84</v>
      </c>
      <c r="F46" s="67">
        <v>8853</v>
      </c>
      <c r="G46" s="67" t="s">
        <v>122</v>
      </c>
      <c r="H46" s="50">
        <v>2013</v>
      </c>
      <c r="I46" s="84">
        <f>(C46-E46)*((Factores!$F$7*Factores!$L$4)+Factores!$N$4*Factores!$L$20+Factores!$P$4*Factores!$L$21)*Factores!$J$4*F46*Variables!$C$18</f>
        <v>31996.187517839946</v>
      </c>
      <c r="K46" s="77">
        <f>Factores!$J$4*C46*F46*(Factores!$F$7*Factores!$L$4+Factores!$N$4*Factores!$L$20+Factores!$P$4*Factores!$L$21)*Variables!$C$18</f>
        <v>45547.513995983943</v>
      </c>
      <c r="L46" s="77">
        <f>Factores!$J$4*E46*F46*(Factores!$F$7*Factores!$L$4+Factores!$N$4*Factores!$L$20+Factores!$P$4*Factores!$L$21)*Variables!$C$18</f>
        <v>13551.326478143998</v>
      </c>
      <c r="M46" s="77">
        <f t="shared" ref="M46:M47" si="22">K46-L46</f>
        <v>31996.187517839946</v>
      </c>
      <c r="N46" s="77">
        <f t="shared" si="7"/>
        <v>0</v>
      </c>
    </row>
    <row r="47" spans="2:14" x14ac:dyDescent="0.3">
      <c r="B47" s="50" t="s">
        <v>64</v>
      </c>
      <c r="C47" s="51">
        <v>2.8233333333333301</v>
      </c>
      <c r="D47" s="66" t="s">
        <v>170</v>
      </c>
      <c r="E47" s="74">
        <f>SUMIF(Variables!$B$4:$B$15,Formato!D47,Variables!$C$4:$C$15)</f>
        <v>1.8</v>
      </c>
      <c r="F47" s="67">
        <v>11205</v>
      </c>
      <c r="G47" s="67" t="s">
        <v>120</v>
      </c>
      <c r="H47" s="50">
        <v>2013</v>
      </c>
      <c r="I47" s="84">
        <f>(C47-E47)*((Factores!$D$7*Factores!$L$4)+Factores!$N$4*Factores!$L$20+Factores!$P$4*Factores!$L$21)*Factores!$J$4*F47*Variables!$C$18</f>
        <v>38404.810313999878</v>
      </c>
      <c r="K47" s="77">
        <f>Factores!$J$4*C47*F47*(Factores!$D$7*Factores!$L$4+Factores!$N$4*Factores!$L$20+Factores!$P$4*Factores!$L$21)*Variables!$C$18</f>
        <v>105957.24539399988</v>
      </c>
      <c r="L47" s="77">
        <f>Factores!$J$4*E47*F47*(Factores!$D$7*Factores!$L$4+Factores!$N$4*Factores!$L$20+Factores!$P$4*Factores!$L$21)*Variables!$C$18</f>
        <v>67552.435079999981</v>
      </c>
      <c r="M47" s="77">
        <f t="shared" si="22"/>
        <v>38404.8103139999</v>
      </c>
      <c r="N47" s="77">
        <f t="shared" si="7"/>
        <v>0</v>
      </c>
    </row>
    <row r="48" spans="2:14" x14ac:dyDescent="0.3">
      <c r="B48" s="50" t="s">
        <v>64</v>
      </c>
      <c r="C48" s="51">
        <v>2.8233333333333301</v>
      </c>
      <c r="D48" s="66" t="s">
        <v>170</v>
      </c>
      <c r="E48" s="74">
        <f>SUMIF(Variables!$B$4:$B$15,Formato!D48,Variables!$C$4:$C$15)</f>
        <v>1.8</v>
      </c>
      <c r="F48" s="67">
        <v>1274</v>
      </c>
      <c r="G48" s="67" t="s">
        <v>121</v>
      </c>
      <c r="H48" s="50">
        <v>2013</v>
      </c>
      <c r="I48" s="84">
        <f>(C48-E48)*((Factores!$E$7*Factores!$L$4)+Factores!$N$4*Factores!$L$20+Factores!$P$4*Factores!$L$21)*Factores!$J$4*F48*Variables!$C$18</f>
        <v>3327.8885174079896</v>
      </c>
      <c r="K48" s="77">
        <f>Factores!$J$4*C48*F48*(Factores!$E$7*Factores!$L$4+Factores!$N$4*Factores!$L$20+Factores!$P$4*Factores!$L$21)*Variables!$C$18</f>
        <v>9181.5034991679895</v>
      </c>
      <c r="L48" s="77">
        <f>Factores!$J$4*E48*F48*(Factores!$E$7*Factores!$L$4+Factores!$N$4*Factores!$L$20+Factores!$P$4*Factores!$L$21)*Variables!$C$18</f>
        <v>5853.6149817600008</v>
      </c>
      <c r="M48" s="77">
        <f t="shared" ref="M48:M49" si="23">K48-L48</f>
        <v>3327.8885174079887</v>
      </c>
      <c r="N48" s="77">
        <f t="shared" si="7"/>
        <v>0</v>
      </c>
    </row>
    <row r="49" spans="2:14" x14ac:dyDescent="0.3">
      <c r="B49" s="50" t="s">
        <v>64</v>
      </c>
      <c r="C49" s="51">
        <v>2.8233333333333301</v>
      </c>
      <c r="D49" s="66" t="s">
        <v>167</v>
      </c>
      <c r="E49" s="74">
        <f>SUMIF(Variables!$B$4:$B$15,Formato!D49,Variables!$C$4:$C$15)</f>
        <v>1.53</v>
      </c>
      <c r="F49" s="67">
        <v>703</v>
      </c>
      <c r="G49" s="67" t="s">
        <v>120</v>
      </c>
      <c r="H49" s="50">
        <v>2013</v>
      </c>
      <c r="I49" s="84">
        <f>(C49-E49)*((Factores!$D$7*Factores!$L$4)+Factores!$N$4*Factores!$L$20+Factores!$P$4*Factores!$L$21)*Factores!$J$4*F49*Variables!$C$18</f>
        <v>3045.2464015999926</v>
      </c>
      <c r="K49" s="77">
        <f>Factores!$J$4*C49*F49*(Factores!$D$7*Factores!$L$4+Factores!$N$4*Factores!$L$20+Factores!$P$4*Factores!$L$21)*Variables!$C$18</f>
        <v>6647.7415003999922</v>
      </c>
      <c r="L49" s="77">
        <f>Factores!$J$4*E49*F49*(Factores!$D$7*Factores!$L$4+Factores!$N$4*Factores!$L$20+Factores!$P$4*Factores!$L$21)*Variables!$C$18</f>
        <v>3602.4950988000001</v>
      </c>
      <c r="M49" s="77">
        <f t="shared" si="23"/>
        <v>3045.2464015999922</v>
      </c>
      <c r="N49" s="77">
        <f t="shared" si="7"/>
        <v>0</v>
      </c>
    </row>
    <row r="50" spans="2:14" x14ac:dyDescent="0.3">
      <c r="B50" s="50" t="s">
        <v>64</v>
      </c>
      <c r="C50" s="51">
        <v>2.8233333333333328</v>
      </c>
      <c r="D50" s="66" t="s">
        <v>167</v>
      </c>
      <c r="E50" s="74">
        <f>SUMIF(Variables!$B$4:$B$15,Formato!D50,Variables!$C$4:$C$15)</f>
        <v>1.53</v>
      </c>
      <c r="F50" s="67">
        <v>75624</v>
      </c>
      <c r="G50" s="67" t="s">
        <v>121</v>
      </c>
      <c r="H50" s="50">
        <v>2013</v>
      </c>
      <c r="I50" s="84">
        <f>(C50-E50)*((Factores!$E$7*Factores!$L$4)+Factores!$N$4*Factores!$L$20+Factores!$P$4*Factores!$L$21)*Factores!$J$4*F50*Variables!$C$18</f>
        <v>249661.93732147189</v>
      </c>
      <c r="K50" s="77">
        <f>Factores!$J$4*C50*F50*(Factores!$E$7*Factores!$L$4+Factores!$N$4*Factores!$L$20+Factores!$P$4*Factores!$L$21)*Variables!$C$18</f>
        <v>545009.43533836794</v>
      </c>
      <c r="L50" s="77">
        <f>Factores!$J$4*E50*F50*(Factores!$E$7*Factores!$L$4+Factores!$N$4*Factores!$L$20+Factores!$P$4*Factores!$L$21)*Variables!$C$18</f>
        <v>295347.49801689596</v>
      </c>
      <c r="M50" s="77">
        <f t="shared" ref="M50:M52" si="24">K50-L50</f>
        <v>249661.93732147198</v>
      </c>
      <c r="N50" s="77">
        <f t="shared" si="7"/>
        <v>0</v>
      </c>
    </row>
    <row r="51" spans="2:14" x14ac:dyDescent="0.3">
      <c r="B51" s="50" t="s">
        <v>64</v>
      </c>
      <c r="C51" s="51">
        <v>2.8233333333333328</v>
      </c>
      <c r="D51" s="66" t="s">
        <v>171</v>
      </c>
      <c r="E51" s="74">
        <f>SUMIF(Variables!$B$4:$B$15,Formato!D51,Variables!$C$4:$C$15)</f>
        <v>1.9</v>
      </c>
      <c r="F51" s="67">
        <v>5593</v>
      </c>
      <c r="G51" s="67" t="s">
        <v>120</v>
      </c>
      <c r="H51" s="50">
        <v>2013</v>
      </c>
      <c r="I51" s="84">
        <f>(C51-E51)*((Factores!$D$7*Factores!$L$4)+Factores!$N$4*Factores!$L$20+Factores!$P$4*Factores!$L$21)*Factores!$J$4*F51*Variables!$C$18</f>
        <v>17296.569508399989</v>
      </c>
      <c r="K51" s="77">
        <f>Factores!$J$4*C51*F51*(Factores!$D$7*Factores!$L$4+Factores!$N$4*Factores!$L$20+Factores!$P$4*Factores!$L$21)*Variables!$C$18</f>
        <v>52888.788352399984</v>
      </c>
      <c r="L51" s="77">
        <f>Factores!$J$4*E51*F51*(Factores!$D$7*Factores!$L$4+Factores!$N$4*Factores!$L$20+Factores!$P$4*Factores!$L$21)*Variables!$C$18</f>
        <v>35592.218843999995</v>
      </c>
      <c r="M51" s="77">
        <f t="shared" si="24"/>
        <v>17296.569508399989</v>
      </c>
      <c r="N51" s="77">
        <f t="shared" si="7"/>
        <v>0</v>
      </c>
    </row>
    <row r="52" spans="2:14" x14ac:dyDescent="0.3">
      <c r="B52" s="50" t="s">
        <v>64</v>
      </c>
      <c r="C52" s="51">
        <v>2.8233333333333328</v>
      </c>
      <c r="D52" s="66" t="s">
        <v>172</v>
      </c>
      <c r="E52" s="74">
        <f>SUMIF(Variables!$B$4:$B$15,Formato!D52,Variables!$C$4:$C$15)</f>
        <v>2</v>
      </c>
      <c r="F52" s="67">
        <v>2468</v>
      </c>
      <c r="G52" s="67" t="s">
        <v>120</v>
      </c>
      <c r="H52" s="50">
        <v>2013</v>
      </c>
      <c r="I52" s="84">
        <f>(C52-E52)*((Factores!$D$7*Factores!$L$4)+Factores!$N$4*Factores!$L$20+Factores!$P$4*Factores!$L$21)*Factores!$J$4*F52*Variables!$C$18</f>
        <v>6805.7735823999947</v>
      </c>
      <c r="K52" s="77">
        <f>Factores!$J$4*C52*F52*(Factores!$D$7*Factores!$L$4+Factores!$N$4*Factores!$L$20+Factores!$P$4*Factores!$L$21)*Variables!$C$18</f>
        <v>23338.017102399997</v>
      </c>
      <c r="L52" s="77">
        <f>Factores!$J$4*E52*F52*(Factores!$D$7*Factores!$L$4+Factores!$N$4*Factores!$L$20+Factores!$P$4*Factores!$L$21)*Variables!$C$18</f>
        <v>16532.24352</v>
      </c>
      <c r="M52" s="77">
        <f t="shared" si="24"/>
        <v>6805.7735823999974</v>
      </c>
      <c r="N52" s="77">
        <f t="shared" si="7"/>
        <v>0</v>
      </c>
    </row>
    <row r="53" spans="2:14" x14ac:dyDescent="0.3">
      <c r="B53" s="50" t="s">
        <v>64</v>
      </c>
      <c r="C53" s="51">
        <v>2.8233333333333328</v>
      </c>
      <c r="D53" s="66" t="s">
        <v>172</v>
      </c>
      <c r="E53" s="74">
        <f>SUMIF(Variables!$B$4:$B$15,Formato!D53,Variables!$C$4:$C$15)</f>
        <v>2</v>
      </c>
      <c r="F53" s="67">
        <v>526</v>
      </c>
      <c r="G53" s="67" t="s">
        <v>121</v>
      </c>
      <c r="H53" s="50">
        <v>2013</v>
      </c>
      <c r="I53" s="84">
        <f>(C53-E53)*((Factores!$E$7*Factores!$L$4)+Factores!$N$4*Factores!$L$20+Factores!$P$4*Factores!$L$21)*Factores!$J$4*F53*Variables!$C$18</f>
        <v>1105.4616048319992</v>
      </c>
      <c r="K53" s="77">
        <f>Factores!$J$4*C53*F53*(Factores!$E$7*Factores!$L$4+Factores!$N$4*Factores!$L$20+Factores!$P$4*Factores!$L$21)*Variables!$C$18</f>
        <v>3790.7934384319997</v>
      </c>
      <c r="L53" s="77">
        <f>Factores!$J$4*E53*F53*(Factores!$E$7*Factores!$L$4+Factores!$N$4*Factores!$L$20+Factores!$P$4*Factores!$L$21)*Variables!$C$18</f>
        <v>2685.3318336000002</v>
      </c>
      <c r="M53" s="77">
        <f t="shared" ref="M53:M54" si="25">K53-L53</f>
        <v>1105.4616048319995</v>
      </c>
      <c r="N53" s="77">
        <f t="shared" si="7"/>
        <v>0</v>
      </c>
    </row>
    <row r="54" spans="2:14" x14ac:dyDescent="0.3">
      <c r="B54" s="50" t="s">
        <v>64</v>
      </c>
      <c r="C54" s="51">
        <v>2.8233333333333328</v>
      </c>
      <c r="D54" s="66" t="s">
        <v>169</v>
      </c>
      <c r="E54" s="74">
        <f>SUMIF(Variables!$B$4:$B$15,Formato!D54,Variables!$C$4:$C$15)</f>
        <v>1.1599999999999999</v>
      </c>
      <c r="F54" s="67">
        <v>9722</v>
      </c>
      <c r="G54" s="67" t="s">
        <v>122</v>
      </c>
      <c r="H54" s="50">
        <v>2013</v>
      </c>
      <c r="I54" s="84">
        <f>(C54-E54)*((Factores!$F$7*Factores!$L$4)+Factores!$N$4*Factores!$L$20+Factores!$P$4*Factores!$L$21)*Factores!$J$4*F54*Variables!$C$18</f>
        <v>29467.749258271986</v>
      </c>
      <c r="K54" s="77">
        <f>Factores!$J$4*C54*F54*(Factores!$F$7*Factores!$L$4+Factores!$N$4*Factores!$L$20+Factores!$P$4*Factores!$L$21)*Variables!$C$18</f>
        <v>50018.404051615988</v>
      </c>
      <c r="L54" s="77">
        <f>Factores!$J$4*E54*F54*(Factores!$F$7*Factores!$L$4+Factores!$N$4*Factores!$L$20+Factores!$P$4*Factores!$L$21)*Variables!$C$18</f>
        <v>20550.654793343998</v>
      </c>
      <c r="M54" s="77">
        <f t="shared" si="25"/>
        <v>29467.74925827199</v>
      </c>
      <c r="N54" s="77">
        <f t="shared" si="7"/>
        <v>0</v>
      </c>
    </row>
    <row r="55" spans="2:14" x14ac:dyDescent="0.3">
      <c r="B55" s="116" t="s">
        <v>178</v>
      </c>
      <c r="C55" s="117"/>
      <c r="D55" s="117"/>
      <c r="E55" s="117"/>
      <c r="F55" s="117"/>
      <c r="G55" s="117"/>
      <c r="H55" s="117"/>
      <c r="I55" s="80">
        <f>SUM(I42:I54)</f>
        <v>626150.84251823951</v>
      </c>
    </row>
    <row r="56" spans="2:14" x14ac:dyDescent="0.3">
      <c r="B56" s="50" t="s">
        <v>64</v>
      </c>
      <c r="C56" s="51">
        <v>2.8233333333333328</v>
      </c>
      <c r="D56" s="66" t="s">
        <v>183</v>
      </c>
      <c r="E56" s="74">
        <f>SUMIF(Variables!$B$4:$B$15,Formato!D56,Variables!$C$4:$C$15)</f>
        <v>1.92</v>
      </c>
      <c r="F56" s="67">
        <v>6</v>
      </c>
      <c r="G56" s="67" t="s">
        <v>121</v>
      </c>
      <c r="H56" s="50">
        <v>2014</v>
      </c>
      <c r="I56" s="84">
        <f>(C56-E56)*((Factores!$E$8*Factores!$L$4)+Factores!$N$4*Factores!$L$20+Factores!$P$4*Factores!$L$21)*Factores!$J$4*F56*Variables!$C$18</f>
        <v>13.835074655999991</v>
      </c>
      <c r="K56" s="77">
        <f>Factores!$J$4*C56*F56*(Factores!$E$8*Factores!$L$4+Factores!$N$4*Factores!$L$20+Factores!$P$4*Factores!$L$21)*Variables!$C$18</f>
        <v>43.240989791999986</v>
      </c>
      <c r="L56" s="77">
        <f>Factores!$J$4*E56*F56*(Factores!$E$8*Factores!$L$4+Factores!$N$4*Factores!$L$20+Factores!$P$4*Factores!$L$21)*Variables!$C$18</f>
        <v>29.405915135999997</v>
      </c>
      <c r="M56" s="77">
        <f t="shared" ref="M56:M57" si="26">K56-L56</f>
        <v>13.835074655999989</v>
      </c>
      <c r="N56" s="77">
        <f t="shared" si="7"/>
        <v>0</v>
      </c>
    </row>
    <row r="57" spans="2:14" x14ac:dyDescent="0.3">
      <c r="B57" s="50" t="s">
        <v>64</v>
      </c>
      <c r="C57" s="51">
        <v>2.8233333333333301</v>
      </c>
      <c r="D57" s="66" t="s">
        <v>62</v>
      </c>
      <c r="E57" s="74">
        <f>SUMIF(Variables!$B$4:$B$15,Formato!D57,Variables!$C$4:$C$15)</f>
        <v>1.42</v>
      </c>
      <c r="F57" s="67">
        <v>2030</v>
      </c>
      <c r="G57" s="67" t="s">
        <v>120</v>
      </c>
      <c r="H57" s="50">
        <v>2014</v>
      </c>
      <c r="I57" s="84">
        <f>(C57-E57)*((Factores!$D$8*Factores!$L$4)+Factores!$N$4*Factores!$L$20+Factores!$P$4*Factores!$L$21)*Factores!$J$4*F57*Variables!$C$18</f>
        <v>9541.4311719999769</v>
      </c>
      <c r="K57" s="77">
        <f>Factores!$J$4*C57*F57*(Factores!$D$8*Factores!$L$4+Factores!$N$4*Factores!$L$20+Factores!$P$4*Factores!$L$21)*Variables!$C$18</f>
        <v>19196.181003999976</v>
      </c>
      <c r="L57" s="77">
        <f>Factores!$J$4*E57*F57*(Factores!$D$8*Factores!$L$4+Factores!$N$4*Factores!$L$20+Factores!$P$4*Factores!$L$21)*Variables!$C$18</f>
        <v>9654.7498319999977</v>
      </c>
      <c r="M57" s="77">
        <f t="shared" si="26"/>
        <v>9541.4311719999787</v>
      </c>
      <c r="N57" s="77">
        <f t="shared" si="7"/>
        <v>0</v>
      </c>
    </row>
    <row r="58" spans="2:14" x14ac:dyDescent="0.3">
      <c r="B58" s="50" t="s">
        <v>64</v>
      </c>
      <c r="C58" s="51">
        <v>2.8233333333333301</v>
      </c>
      <c r="D58" s="66" t="s">
        <v>62</v>
      </c>
      <c r="E58" s="74">
        <f>SUMIF(Variables!$B$4:$B$15,Formato!D58,Variables!$C$4:$C$15)</f>
        <v>1.42</v>
      </c>
      <c r="F58" s="67">
        <v>71904</v>
      </c>
      <c r="G58" s="67" t="s">
        <v>121</v>
      </c>
      <c r="H58" s="50">
        <v>2014</v>
      </c>
      <c r="I58" s="84">
        <f>(C58-E58)*((Factores!$E$8*Factores!$L$4)+Factores!$N$4*Factores!$L$20+Factores!$P$4*Factores!$L$21)*Factores!$J$4*F58*Variables!$C$18</f>
        <v>257570.49483110339</v>
      </c>
      <c r="K58" s="77">
        <f>Factores!$J$4*C58*F58*(Factores!$E$8*Factores!$L$4+Factores!$N$4*Factores!$L$20+Factores!$P$4*Factores!$L$21)*Variables!$C$18</f>
        <v>518200.02166732744</v>
      </c>
      <c r="L58" s="77">
        <f>Factores!$J$4*E58*F58*(Factores!$E$8*Factores!$L$4+Factores!$N$4*Factores!$L$20+Factores!$P$4*Factores!$L$21)*Variables!$C$18</f>
        <v>260629.52683622396</v>
      </c>
      <c r="M58" s="77">
        <f t="shared" ref="M58:M59" si="27">K58-L58</f>
        <v>257570.49483110348</v>
      </c>
      <c r="N58" s="77">
        <f t="shared" si="7"/>
        <v>0</v>
      </c>
    </row>
    <row r="59" spans="2:14" x14ac:dyDescent="0.3">
      <c r="B59" s="50" t="s">
        <v>64</v>
      </c>
      <c r="C59" s="51">
        <v>2.8233333333333301</v>
      </c>
      <c r="D59" s="66" t="s">
        <v>168</v>
      </c>
      <c r="E59" s="74">
        <f>SUMIF(Variables!$B$4:$B$15,Formato!D59,Variables!$C$4:$C$15)</f>
        <v>0.84</v>
      </c>
      <c r="F59" s="67">
        <v>2802</v>
      </c>
      <c r="G59" s="67" t="s">
        <v>120</v>
      </c>
      <c r="H59" s="50">
        <v>2014</v>
      </c>
      <c r="I59" s="84">
        <f>(C59-E59)*((Factores!$D$8*Factores!$L$4)+Factores!$N$4*Factores!$L$20+Factores!$P$4*Factores!$L$21)*Factores!$J$4*F59*Variables!$C$18</f>
        <v>18613.176035999972</v>
      </c>
      <c r="K59" s="77">
        <f>Factores!$J$4*C59*F59*(Factores!$D$8*Factores!$L$4+Factores!$N$4*Factores!$L$20+Factores!$P$4*Factores!$L$21)*Variables!$C$18</f>
        <v>26496.403533599969</v>
      </c>
      <c r="L59" s="77">
        <f>Factores!$J$4*E59*F59*(Factores!$D$8*Factores!$L$4+Factores!$N$4*Factores!$L$20+Factores!$P$4*Factores!$L$21)*Variables!$C$18</f>
        <v>7883.227497599999</v>
      </c>
      <c r="M59" s="77">
        <f t="shared" si="27"/>
        <v>18613.176035999968</v>
      </c>
      <c r="N59" s="77">
        <f t="shared" si="7"/>
        <v>0</v>
      </c>
    </row>
    <row r="60" spans="2:14" x14ac:dyDescent="0.3">
      <c r="B60" s="50" t="s">
        <v>64</v>
      </c>
      <c r="C60" s="51">
        <v>2.8233333333333301</v>
      </c>
      <c r="D60" s="66" t="s">
        <v>168</v>
      </c>
      <c r="E60" s="74">
        <f>SUMIF(Variables!$B$4:$B$15,Formato!D60,Variables!$C$4:$C$15)</f>
        <v>0.84</v>
      </c>
      <c r="F60" s="67">
        <v>21143</v>
      </c>
      <c r="G60" s="67" t="s">
        <v>121</v>
      </c>
      <c r="H60" s="50">
        <v>2014</v>
      </c>
      <c r="I60" s="84">
        <f>(C60-E60)*((Factores!$E$8*Factores!$L$4)+Factores!$N$4*Factores!$L$20+Factores!$P$4*Factores!$L$21)*Factores!$J$4*F60*Variables!$C$18</f>
        <v>107039.61571575982</v>
      </c>
      <c r="K60" s="77">
        <f>Factores!$J$4*C60*F60*(Factores!$E$8*Factores!$L$4+Factores!$N$4*Factores!$L$20+Factores!$P$4*Factores!$L$21)*Variables!$C$18</f>
        <v>152374.04119537584</v>
      </c>
      <c r="L60" s="77">
        <f>Factores!$J$4*E60*F60*(Factores!$E$8*Factores!$L$4+Factores!$N$4*Factores!$L$20+Factores!$P$4*Factores!$L$21)*Variables!$C$18</f>
        <v>45334.425479615995</v>
      </c>
      <c r="M60" s="77">
        <f t="shared" ref="M60" si="28">K60-L60</f>
        <v>107039.61571575985</v>
      </c>
      <c r="N60" s="77">
        <f t="shared" si="7"/>
        <v>0</v>
      </c>
    </row>
    <row r="61" spans="2:14" x14ac:dyDescent="0.3">
      <c r="B61" s="50" t="s">
        <v>64</v>
      </c>
      <c r="C61" s="51">
        <v>2.8233333333333301</v>
      </c>
      <c r="D61" s="66" t="s">
        <v>168</v>
      </c>
      <c r="E61" s="74">
        <f>SUMIF(Variables!$B$4:$B$15,Formato!D61,Variables!$C$4:$C$15)</f>
        <v>0.84</v>
      </c>
      <c r="F61" s="67">
        <v>10342</v>
      </c>
      <c r="G61" s="67" t="s">
        <v>122</v>
      </c>
      <c r="H61" s="50">
        <v>2014</v>
      </c>
      <c r="I61" s="84">
        <f>(C61-E61)*((Factores!$F$8*Factores!$L$4)+Factores!$N$4*Factores!$L$20+Factores!$P$4*Factores!$L$21)*Factores!$J$4*F61*Variables!$C$18</f>
        <v>37377.676641759936</v>
      </c>
      <c r="K61" s="77">
        <f>Factores!$J$4*C61*F61*(Factores!$F$8*Factores!$L$4+Factores!$N$4*Factores!$L$20+Factores!$P$4*Factores!$L$21)*Variables!$C$18</f>
        <v>53208.22204297594</v>
      </c>
      <c r="L61" s="77">
        <f>Factores!$J$4*E61*F61*(Factores!$F$8*Factores!$L$4+Factores!$N$4*Factores!$L$20+Factores!$P$4*Factores!$L$21)*Variables!$C$18</f>
        <v>15830.545401216001</v>
      </c>
      <c r="M61" s="77">
        <f t="shared" ref="M61:M62" si="29">K61-L61</f>
        <v>37377.676641759943</v>
      </c>
      <c r="N61" s="77">
        <f t="shared" si="7"/>
        <v>0</v>
      </c>
    </row>
    <row r="62" spans="2:14" x14ac:dyDescent="0.3">
      <c r="B62" s="50" t="s">
        <v>64</v>
      </c>
      <c r="C62" s="51">
        <v>2.8233333333333301</v>
      </c>
      <c r="D62" s="66" t="s">
        <v>170</v>
      </c>
      <c r="E62" s="74">
        <f>SUMIF(Variables!$B$4:$B$15,Formato!D62,Variables!$C$4:$C$15)</f>
        <v>1.8</v>
      </c>
      <c r="F62" s="67">
        <v>11205</v>
      </c>
      <c r="G62" s="67" t="s">
        <v>120</v>
      </c>
      <c r="H62" s="50">
        <v>2014</v>
      </c>
      <c r="I62" s="84">
        <f>(C62-E62)*((Factores!$D$8*Factores!$L$4)+Factores!$N$4*Factores!$L$20+Factores!$P$4*Factores!$L$21)*Factores!$J$4*F62*Variables!$C$18</f>
        <v>38404.810313999878</v>
      </c>
      <c r="K62" s="77">
        <f>Factores!$J$4*C62*F62*(Factores!$D$8*Factores!$L$4+Factores!$N$4*Factores!$L$20+Factores!$P$4*Factores!$L$21)*Variables!$C$18</f>
        <v>105957.24539399988</v>
      </c>
      <c r="L62" s="77">
        <f>Factores!$J$4*E62*F62*(Factores!$D$8*Factores!$L$4+Factores!$N$4*Factores!$L$20+Factores!$P$4*Factores!$L$21)*Variables!$C$18</f>
        <v>67552.435079999981</v>
      </c>
      <c r="M62" s="77">
        <f t="shared" si="29"/>
        <v>38404.8103139999</v>
      </c>
      <c r="N62" s="77">
        <f t="shared" si="7"/>
        <v>0</v>
      </c>
    </row>
    <row r="63" spans="2:14" x14ac:dyDescent="0.3">
      <c r="B63" s="50" t="s">
        <v>64</v>
      </c>
      <c r="C63" s="51">
        <v>2.8233333333333301</v>
      </c>
      <c r="D63" s="66" t="s">
        <v>170</v>
      </c>
      <c r="E63" s="74">
        <f>SUMIF(Variables!$B$4:$B$15,Formato!D63,Variables!$C$4:$C$15)</f>
        <v>1.8</v>
      </c>
      <c r="F63" s="67">
        <v>1274</v>
      </c>
      <c r="G63" s="67" t="s">
        <v>121</v>
      </c>
      <c r="H63" s="50">
        <v>2014</v>
      </c>
      <c r="I63" s="84">
        <f>(C63-E63)*((Factores!$E$8*Factores!$L$4)+Factores!$N$4*Factores!$L$20+Factores!$P$4*Factores!$L$21)*Factores!$J$4*F63*Variables!$C$18</f>
        <v>3327.8885174079896</v>
      </c>
      <c r="K63" s="77">
        <f>Factores!$J$4*C63*F63*(Factores!$E$8*Factores!$L$4+Factores!$N$4*Factores!$L$20+Factores!$P$4*Factores!$L$21)*Variables!$C$18</f>
        <v>9181.5034991679895</v>
      </c>
      <c r="L63" s="77">
        <f>Factores!$J$4*E63*F63*(Factores!$E$8*Factores!$L$4+Factores!$N$4*Factores!$L$20+Factores!$P$4*Factores!$L$21)*Variables!$C$18</f>
        <v>5853.6149817600008</v>
      </c>
      <c r="M63" s="77">
        <f t="shared" ref="M63:M64" si="30">K63-L63</f>
        <v>3327.8885174079887</v>
      </c>
      <c r="N63" s="77">
        <f t="shared" si="7"/>
        <v>0</v>
      </c>
    </row>
    <row r="64" spans="2:14" x14ac:dyDescent="0.3">
      <c r="B64" s="50" t="s">
        <v>64</v>
      </c>
      <c r="C64" s="51">
        <v>2.8233333333333301</v>
      </c>
      <c r="D64" s="66" t="s">
        <v>167</v>
      </c>
      <c r="E64" s="74">
        <f>SUMIF(Variables!$B$4:$B$15,Formato!D64,Variables!$C$4:$C$15)</f>
        <v>1.53</v>
      </c>
      <c r="F64" s="67">
        <v>703</v>
      </c>
      <c r="G64" s="67" t="s">
        <v>120</v>
      </c>
      <c r="H64" s="50">
        <v>2014</v>
      </c>
      <c r="I64" s="84">
        <f>(C64-E64)*((Factores!$D$8*Factores!$L$4)+Factores!$N$4*Factores!$L$20+Factores!$P$4*Factores!$L$21)*Factores!$J$4*F64*Variables!$C$18</f>
        <v>3045.2464015999926</v>
      </c>
      <c r="K64" s="77">
        <f>Factores!$J$4*C64*F64*(Factores!$D$8*Factores!$L$4+Factores!$N$4*Factores!$L$20+Factores!$P$4*Factores!$L$21)*Variables!$C$18</f>
        <v>6647.7415003999922</v>
      </c>
      <c r="L64" s="77">
        <f>Factores!$J$4*E64*F64*(Factores!$D$8*Factores!$L$4+Factores!$N$4*Factores!$L$20+Factores!$P$4*Factores!$L$21)*Variables!$C$18</f>
        <v>3602.4950988000001</v>
      </c>
      <c r="M64" s="77">
        <f t="shared" si="30"/>
        <v>3045.2464015999922</v>
      </c>
      <c r="N64" s="77">
        <f t="shared" si="7"/>
        <v>0</v>
      </c>
    </row>
    <row r="65" spans="2:14" x14ac:dyDescent="0.3">
      <c r="B65" s="50" t="s">
        <v>64</v>
      </c>
      <c r="C65" s="51">
        <v>2.8233333333333328</v>
      </c>
      <c r="D65" s="66" t="s">
        <v>167</v>
      </c>
      <c r="E65" s="74">
        <f>SUMIF(Variables!$B$4:$B$15,Formato!D65,Variables!$C$4:$C$15)</f>
        <v>1.53</v>
      </c>
      <c r="F65" s="67">
        <v>75624</v>
      </c>
      <c r="G65" s="67" t="s">
        <v>121</v>
      </c>
      <c r="H65" s="50">
        <v>2014</v>
      </c>
      <c r="I65" s="84">
        <f>(C65-E65)*((Factores!$E$8*Factores!$L$4)+Factores!$N$4*Factores!$L$20+Factores!$P$4*Factores!$L$21)*Factores!$J$4*F65*Variables!$C$18</f>
        <v>249661.93732147189</v>
      </c>
      <c r="K65" s="77">
        <f>Factores!$J$4*C65*F65*(Factores!$E$8*Factores!$L$4+Factores!$N$4*Factores!$L$20+Factores!$P$4*Factores!$L$21)*Variables!$C$18</f>
        <v>545009.43533836794</v>
      </c>
      <c r="L65" s="77">
        <f>Factores!$J$4*E65*F65*(Factores!$E$8*Factores!$L$4+Factores!$N$4*Factores!$L$20+Factores!$P$4*Factores!$L$21)*Variables!$C$18</f>
        <v>295347.49801689596</v>
      </c>
      <c r="M65" s="77">
        <f t="shared" ref="M65:M67" si="31">K65-L65</f>
        <v>249661.93732147198</v>
      </c>
      <c r="N65" s="77">
        <f t="shared" si="7"/>
        <v>0</v>
      </c>
    </row>
    <row r="66" spans="2:14" x14ac:dyDescent="0.3">
      <c r="B66" s="50" t="s">
        <v>64</v>
      </c>
      <c r="C66" s="51">
        <v>2.8233333333333328</v>
      </c>
      <c r="D66" s="66" t="s">
        <v>171</v>
      </c>
      <c r="E66" s="74">
        <f>SUMIF(Variables!$B$4:$B$15,Formato!D66,Variables!$C$4:$C$15)</f>
        <v>1.9</v>
      </c>
      <c r="F66" s="67">
        <v>5593</v>
      </c>
      <c r="G66" s="67" t="s">
        <v>120</v>
      </c>
      <c r="H66" s="50">
        <v>2014</v>
      </c>
      <c r="I66" s="84">
        <f>(C66-E66)*((Factores!$D$8*Factores!$L$4)+Factores!$N$4*Factores!$L$20+Factores!$P$4*Factores!$L$21)*Factores!$J$4*F66*Variables!$C$18</f>
        <v>17296.569508399989</v>
      </c>
      <c r="K66" s="77">
        <f>Factores!$J$4*C66*F66*(Factores!$D$8*Factores!$L$4+Factores!$N$4*Factores!$L$20+Factores!$P$4*Factores!$L$21)*Variables!$C$18</f>
        <v>52888.788352399984</v>
      </c>
      <c r="L66" s="77">
        <f>Factores!$J$4*E66*F66*(Factores!$D$8*Factores!$L$4+Factores!$N$4*Factores!$L$20+Factores!$P$4*Factores!$L$21)*Variables!$C$18</f>
        <v>35592.218843999995</v>
      </c>
      <c r="M66" s="77">
        <f t="shared" si="31"/>
        <v>17296.569508399989</v>
      </c>
      <c r="N66" s="77">
        <f t="shared" si="7"/>
        <v>0</v>
      </c>
    </row>
    <row r="67" spans="2:14" x14ac:dyDescent="0.3">
      <c r="B67" s="50" t="s">
        <v>64</v>
      </c>
      <c r="C67" s="51">
        <v>2.8233333333333301</v>
      </c>
      <c r="D67" s="66" t="s">
        <v>172</v>
      </c>
      <c r="E67" s="74">
        <f>SUMIF(Variables!$B$4:$B$15,Formato!D67,Variables!$C$4:$C$15)</f>
        <v>2</v>
      </c>
      <c r="F67" s="67">
        <v>2468</v>
      </c>
      <c r="G67" s="67" t="s">
        <v>120</v>
      </c>
      <c r="H67" s="50">
        <v>2014</v>
      </c>
      <c r="I67" s="84">
        <f>(C67-E67)*((Factores!$D$8*Factores!$L$4)+Factores!$N$4*Factores!$L$20+Factores!$P$4*Factores!$L$21)*Factores!$J$4*F67*Variables!$C$18</f>
        <v>6805.7735823999728</v>
      </c>
      <c r="K67" s="77">
        <f>Factores!$J$4*C67*F67*(Factores!$D$8*Factores!$L$4+Factores!$N$4*Factores!$L$20+Factores!$P$4*Factores!$L$21)*Variables!$C$18</f>
        <v>23338.017102399976</v>
      </c>
      <c r="L67" s="77">
        <f>Factores!$J$4*E67*F67*(Factores!$D$8*Factores!$L$4+Factores!$N$4*Factores!$L$20+Factores!$P$4*Factores!$L$21)*Variables!$C$18</f>
        <v>16532.24352</v>
      </c>
      <c r="M67" s="77">
        <f t="shared" si="31"/>
        <v>6805.7735823999756</v>
      </c>
      <c r="N67" s="77">
        <f t="shared" si="7"/>
        <v>0</v>
      </c>
    </row>
    <row r="68" spans="2:14" x14ac:dyDescent="0.3">
      <c r="B68" s="50" t="s">
        <v>64</v>
      </c>
      <c r="C68" s="51">
        <v>2.8233333333333301</v>
      </c>
      <c r="D68" s="66" t="s">
        <v>172</v>
      </c>
      <c r="E68" s="74">
        <f>SUMIF(Variables!$B$4:$B$15,Formato!D68,Variables!$C$4:$C$15)</f>
        <v>2</v>
      </c>
      <c r="F68" s="67">
        <v>526</v>
      </c>
      <c r="G68" s="67" t="s">
        <v>121</v>
      </c>
      <c r="H68" s="50">
        <v>2014</v>
      </c>
      <c r="I68" s="84">
        <f>(C68-E68)*((Factores!$E$8*Factores!$L$4)+Factores!$N$4*Factores!$L$20+Factores!$P$4*Factores!$L$21)*Factores!$J$4*F68*Variables!$C$18</f>
        <v>1105.4616048319958</v>
      </c>
      <c r="K68" s="77">
        <f>Factores!$J$4*C68*F68*(Factores!$E$8*Factores!$L$4+Factores!$N$4*Factores!$L$20+Factores!$P$4*Factores!$L$21)*Variables!$C$18</f>
        <v>3790.793438431996</v>
      </c>
      <c r="L68" s="77">
        <f>Factores!$J$4*E68*F68*(Factores!$E$8*Factores!$L$4+Factores!$N$4*Factores!$L$20+Factores!$P$4*Factores!$L$21)*Variables!$C$18</f>
        <v>2685.3318336000002</v>
      </c>
      <c r="M68" s="77">
        <f t="shared" ref="M68:M69" si="32">K68-L68</f>
        <v>1105.4616048319958</v>
      </c>
      <c r="N68" s="77">
        <f t="shared" si="7"/>
        <v>0</v>
      </c>
    </row>
    <row r="69" spans="2:14" x14ac:dyDescent="0.3">
      <c r="B69" s="50" t="s">
        <v>64</v>
      </c>
      <c r="C69" s="51">
        <v>2.8233333333333328</v>
      </c>
      <c r="D69" s="66" t="s">
        <v>169</v>
      </c>
      <c r="E69" s="74">
        <f>SUMIF(Variables!$B$4:$B$15,Formato!D69,Variables!$C$4:$C$15)</f>
        <v>1.1599999999999999</v>
      </c>
      <c r="F69" s="67">
        <v>13713</v>
      </c>
      <c r="G69" s="67" t="s">
        <v>122</v>
      </c>
      <c r="H69" s="50">
        <v>2014</v>
      </c>
      <c r="I69" s="84">
        <f>(C69-E69)*((Factores!$F$8*Factores!$L$4)+Factores!$N$4*Factores!$L$20+Factores!$P$4*Factores!$L$21)*Factores!$J$4*F69*Variables!$C$18</f>
        <v>41564.621022287982</v>
      </c>
      <c r="K69" s="77">
        <f>Factores!$J$4*C69*F69*(Factores!$F$8*Factores!$L$4+Factores!$N$4*Factores!$L$20+Factores!$P$4*Factores!$L$21)*Variables!$C$18</f>
        <v>70551.571154063975</v>
      </c>
      <c r="L69" s="77">
        <f>Factores!$J$4*E69*F69*(Factores!$F$8*Factores!$L$4+Factores!$N$4*Factores!$L$20+Factores!$P$4*Factores!$L$21)*Variables!$C$18</f>
        <v>28986.950131775993</v>
      </c>
      <c r="M69" s="77">
        <f t="shared" si="32"/>
        <v>41564.621022287982</v>
      </c>
      <c r="N69" s="77">
        <f t="shared" si="7"/>
        <v>0</v>
      </c>
    </row>
    <row r="70" spans="2:14" x14ac:dyDescent="0.3">
      <c r="B70" s="116" t="s">
        <v>178</v>
      </c>
      <c r="C70" s="117"/>
      <c r="D70" s="117"/>
      <c r="E70" s="117"/>
      <c r="F70" s="117"/>
      <c r="G70" s="117"/>
      <c r="H70" s="117"/>
      <c r="I70" s="80">
        <f>SUM(I56:I69)</f>
        <v>791368.53774367867</v>
      </c>
    </row>
    <row r="71" spans="2:14" x14ac:dyDescent="0.3">
      <c r="B71" s="50" t="s">
        <v>64</v>
      </c>
      <c r="C71" s="51">
        <v>2.8233333333333328</v>
      </c>
      <c r="D71" s="66" t="s">
        <v>183</v>
      </c>
      <c r="E71" s="74">
        <f>SUMIF(Variables!$B$4:$B$15,Formato!D71,Variables!$C$4:$C$15)</f>
        <v>1.92</v>
      </c>
      <c r="F71" s="67">
        <v>6</v>
      </c>
      <c r="G71" s="67" t="s">
        <v>121</v>
      </c>
      <c r="H71" s="50">
        <v>2015</v>
      </c>
      <c r="I71" s="84">
        <f>(C71-E71)*((Factores!$E$9*Factores!$L$4)+Factores!$N$4*Factores!$L$20+Factores!$P$4*Factores!$L$21)*Factores!$J$4*F71*Variables!$C$18</f>
        <v>13.835074655999991</v>
      </c>
      <c r="K71" s="77">
        <f>Factores!$J$4*C71*F71*(Factores!$E$9*Factores!$L$4+Factores!$N$4*Factores!$L$20+Factores!$P$4*Factores!$L$21)*Variables!$C$18</f>
        <v>43.240989791999986</v>
      </c>
      <c r="L71" s="77">
        <f>Factores!$J$4*E71*F71*(Factores!$E$9*Factores!$L$4+Factores!$N$4*Factores!$L$20+Factores!$P$4*Factores!$L$21)*Variables!$C$18</f>
        <v>29.405915135999997</v>
      </c>
      <c r="M71" s="77">
        <f t="shared" ref="M71:M72" si="33">K71-L71</f>
        <v>13.835074655999989</v>
      </c>
      <c r="N71" s="77">
        <f t="shared" si="7"/>
        <v>0</v>
      </c>
    </row>
    <row r="72" spans="2:14" x14ac:dyDescent="0.3">
      <c r="B72" s="50" t="s">
        <v>64</v>
      </c>
      <c r="C72" s="51">
        <v>2.8233333333333301</v>
      </c>
      <c r="D72" s="66" t="s">
        <v>62</v>
      </c>
      <c r="E72" s="74">
        <f>SUMIF(Variables!$B$4:$B$15,Formato!D72,Variables!$C$4:$C$15)</f>
        <v>1.42</v>
      </c>
      <c r="F72" s="67">
        <v>2728</v>
      </c>
      <c r="G72" s="67" t="s">
        <v>120</v>
      </c>
      <c r="H72" s="50">
        <v>2015</v>
      </c>
      <c r="I72" s="84">
        <f>(C72-E72)*((Factores!$D$9*Factores!$L$4)+Factores!$N$4*Factores!$L$20+Factores!$P$4*Factores!$L$21)*Factores!$J$4*F72*Variables!$C$18</f>
        <v>12822.17942719997</v>
      </c>
      <c r="K72" s="77">
        <f>Factores!$J$4*C72*F72*(Factores!$D$9*Factores!$L$4+Factores!$N$4*Factores!$L$20+Factores!$P$4*Factores!$L$21)*Variables!$C$18</f>
        <v>25796.64127039997</v>
      </c>
      <c r="L72" s="77">
        <f>Factores!$J$4*E72*F72*(Factores!$D$9*Factores!$L$4+Factores!$N$4*Factores!$L$20+Factores!$P$4*Factores!$L$21)*Variables!$C$18</f>
        <v>12974.461843199999</v>
      </c>
      <c r="M72" s="77">
        <f t="shared" si="33"/>
        <v>12822.179427199972</v>
      </c>
      <c r="N72" s="77">
        <f t="shared" si="7"/>
        <v>0</v>
      </c>
    </row>
    <row r="73" spans="2:14" x14ac:dyDescent="0.3">
      <c r="B73" s="50" t="s">
        <v>64</v>
      </c>
      <c r="C73" s="51">
        <v>2.8233333333333301</v>
      </c>
      <c r="D73" s="66" t="s">
        <v>62</v>
      </c>
      <c r="E73" s="74">
        <f>SUMIF(Variables!$B$4:$B$15,Formato!D73,Variables!$C$4:$C$15)</f>
        <v>1.42</v>
      </c>
      <c r="F73" s="67">
        <v>75088</v>
      </c>
      <c r="G73" s="67" t="s">
        <v>121</v>
      </c>
      <c r="H73" s="50">
        <v>2015</v>
      </c>
      <c r="I73" s="84">
        <f>(C73-E73)*((Factores!$E$9*Factores!$L$4)+Factores!$N$4*Factores!$L$20+Factores!$P$4*Factores!$L$21)*Factores!$J$4*F73*Variables!$C$18</f>
        <v>268976.0418874874</v>
      </c>
      <c r="K73" s="77">
        <f>Factores!$J$4*C73*F73*(Factores!$E$9*Factores!$L$4+Factores!$N$4*Factores!$L$20+Factores!$P$4*Factores!$L$21)*Variables!$C$18</f>
        <v>541146.57358361548</v>
      </c>
      <c r="L73" s="77">
        <f>Factores!$J$4*E73*F73*(Factores!$E$9*Factores!$L$4+Factores!$N$4*Factores!$L$20+Factores!$P$4*Factores!$L$21)*Variables!$C$18</f>
        <v>272170.53169612796</v>
      </c>
      <c r="M73" s="77">
        <f t="shared" ref="M73" si="34">K73-L73</f>
        <v>268976.04188748752</v>
      </c>
      <c r="N73" s="77">
        <f t="shared" si="7"/>
        <v>0</v>
      </c>
    </row>
    <row r="74" spans="2:14" x14ac:dyDescent="0.3">
      <c r="B74" s="50" t="s">
        <v>64</v>
      </c>
      <c r="C74" s="51">
        <v>2.8233333333333301</v>
      </c>
      <c r="D74" s="66" t="s">
        <v>168</v>
      </c>
      <c r="E74" s="74">
        <f>SUMIF(Variables!$B$4:$B$15,Formato!D74,Variables!$C$4:$C$15)</f>
        <v>0.84</v>
      </c>
      <c r="F74" s="67">
        <v>2802</v>
      </c>
      <c r="G74" s="67" t="s">
        <v>120</v>
      </c>
      <c r="H74" s="50">
        <v>2015</v>
      </c>
      <c r="I74" s="84">
        <f>(C74-E74)*((Factores!$D$9*Factores!$L$4)+Factores!$N$4*Factores!$L$20+Factores!$P$4*Factores!$L$21)*Factores!$J$4*F74*Variables!$C$18</f>
        <v>18613.176035999972</v>
      </c>
      <c r="K74" s="77">
        <f>Factores!$J$4*C74*F74*(Factores!$D$9*Factores!$L$4+Factores!$N$4*Factores!$L$20+Factores!$P$4*Factores!$L$21)*Variables!$C$18</f>
        <v>26496.403533599969</v>
      </c>
      <c r="L74" s="77">
        <f>Factores!$J$4*E74*F74*(Factores!$D$9*Factores!$L$4+Factores!$N$4*Factores!$L$20+Factores!$P$4*Factores!$L$21)*Variables!$C$18</f>
        <v>7883.227497599999</v>
      </c>
      <c r="M74" s="77">
        <f t="shared" ref="M74:M75" si="35">K74-L74</f>
        <v>18613.176035999968</v>
      </c>
      <c r="N74" s="77">
        <f t="shared" ref="N74" si="36">I74-M74</f>
        <v>0</v>
      </c>
    </row>
    <row r="75" spans="2:14" x14ac:dyDescent="0.3">
      <c r="B75" s="50" t="s">
        <v>64</v>
      </c>
      <c r="C75" s="51">
        <v>2.8233333333333301</v>
      </c>
      <c r="D75" s="66" t="s">
        <v>168</v>
      </c>
      <c r="E75" s="74">
        <f>SUMIF(Variables!$B$4:$B$15,Formato!D75,Variables!$C$4:$C$15)</f>
        <v>0.84</v>
      </c>
      <c r="F75" s="67">
        <v>22361</v>
      </c>
      <c r="G75" s="67" t="s">
        <v>121</v>
      </c>
      <c r="H75" s="50">
        <v>2015</v>
      </c>
      <c r="I75" s="84">
        <f>(C75-E75)*((Factores!$E$9*Factores!$L$4)+Factores!$N$4*Factores!$L$20+Factores!$P$4*Factores!$L$21)*Factores!$J$4*F75*Variables!$C$18</f>
        <v>113205.92380551981</v>
      </c>
      <c r="K75" s="77">
        <f>Factores!$J$4*C75*F75*(Factores!$E$9*Factores!$L$4+Factores!$N$4*Factores!$L$20+Factores!$P$4*Factores!$L$21)*Variables!$C$18</f>
        <v>161151.96212315181</v>
      </c>
      <c r="L75" s="77">
        <f>Factores!$J$4*E75*F75*(Factores!$E$9*Factores!$L$4+Factores!$N$4*Factores!$L$20+Factores!$P$4*Factores!$L$21)*Variables!$C$18</f>
        <v>47946.038317631996</v>
      </c>
      <c r="M75" s="77">
        <f t="shared" si="35"/>
        <v>113205.92380551982</v>
      </c>
      <c r="N75" s="77">
        <f t="shared" si="7"/>
        <v>0</v>
      </c>
    </row>
    <row r="76" spans="2:14" x14ac:dyDescent="0.3">
      <c r="B76" s="50" t="s">
        <v>64</v>
      </c>
      <c r="C76" s="51">
        <v>2.8233333333333301</v>
      </c>
      <c r="D76" s="66" t="s">
        <v>168</v>
      </c>
      <c r="E76" s="74">
        <f>SUMIF(Variables!$B$4:$B$15,Formato!D76,Variables!$C$4:$C$15)</f>
        <v>0.84</v>
      </c>
      <c r="F76" s="67">
        <v>10521</v>
      </c>
      <c r="G76" s="67" t="s">
        <v>122</v>
      </c>
      <c r="H76" s="50">
        <v>2015</v>
      </c>
      <c r="I76" s="84">
        <f>(C76-E76)*((Factores!$F$9*Factores!$L$4)+Factores!$N$4*Factores!$L$20+Factores!$P$4*Factores!$L$21)*Factores!$J$4*F76*Variables!$C$18</f>
        <v>38024.61186887994</v>
      </c>
      <c r="K76" s="77">
        <f>Factores!$J$4*C76*F76*(Factores!$F$9*Factores!$L$4+Factores!$N$4*Factores!$L$20+Factores!$P$4*Factores!$L$21)*Variables!$C$18</f>
        <v>54129.153366287937</v>
      </c>
      <c r="L76" s="77">
        <f>Factores!$J$4*E76*F76*(Factores!$F$9*Factores!$L$4+Factores!$N$4*Factores!$L$20+Factores!$P$4*Factores!$L$21)*Variables!$C$18</f>
        <v>16104.541497407996</v>
      </c>
      <c r="M76" s="77">
        <f t="shared" ref="M76" si="37">K76-L76</f>
        <v>38024.61186887994</v>
      </c>
      <c r="N76" s="77">
        <f t="shared" si="7"/>
        <v>0</v>
      </c>
    </row>
    <row r="77" spans="2:14" x14ac:dyDescent="0.3">
      <c r="B77" s="50" t="s">
        <v>64</v>
      </c>
      <c r="C77" s="51">
        <v>2.8233333333333301</v>
      </c>
      <c r="D77" s="66" t="s">
        <v>170</v>
      </c>
      <c r="E77" s="74">
        <f>SUMIF(Variables!$B$4:$B$15,Formato!D77,Variables!$C$4:$C$15)</f>
        <v>1.8</v>
      </c>
      <c r="F77" s="67">
        <v>11205</v>
      </c>
      <c r="G77" s="67" t="s">
        <v>120</v>
      </c>
      <c r="H77" s="50">
        <v>2015</v>
      </c>
      <c r="I77" s="84">
        <f>(C77-E77)*((Factores!$D$9*Factores!$L$4)+Factores!$N$4*Factores!$L$20+Factores!$P$4*Factores!$L$21)*Factores!$J$4*F77*Variables!$C$18</f>
        <v>38404.810313999878</v>
      </c>
      <c r="K77" s="77">
        <f>Factores!$J$4*C77*F77*(Factores!$D$9*Factores!$L$4+Factores!$N$4*Factores!$L$20+Factores!$P$4*Factores!$L$21)*Variables!$C$18</f>
        <v>105957.24539399988</v>
      </c>
      <c r="L77" s="77">
        <f>Factores!$J$4*E77*F77*(Factores!$D$9*Factores!$L$4+Factores!$N$4*Factores!$L$20+Factores!$P$4*Factores!$L$21)*Variables!$C$18</f>
        <v>67552.435079999981</v>
      </c>
      <c r="M77" s="77">
        <f t="shared" ref="M77:M78" si="38">K77-L77</f>
        <v>38404.8103139999</v>
      </c>
      <c r="N77" s="77">
        <f t="shared" ref="N77" si="39">I77-M77</f>
        <v>0</v>
      </c>
    </row>
    <row r="78" spans="2:14" x14ac:dyDescent="0.3">
      <c r="B78" s="50" t="s">
        <v>64</v>
      </c>
      <c r="C78" s="51">
        <v>2.8233333333333328</v>
      </c>
      <c r="D78" s="66" t="s">
        <v>170</v>
      </c>
      <c r="E78" s="74">
        <f>SUMIF(Variables!$B$4:$B$15,Formato!D78,Variables!$C$4:$C$15)</f>
        <v>1.8</v>
      </c>
      <c r="F78" s="67">
        <v>1274</v>
      </c>
      <c r="G78" s="67" t="s">
        <v>121</v>
      </c>
      <c r="H78" s="50">
        <v>2015</v>
      </c>
      <c r="I78" s="84">
        <f>(C78-E78)*((Factores!$E$9*Factores!$L$4)+Factores!$N$4*Factores!$L$20+Factores!$P$4*Factores!$L$21)*Factores!$J$4*F78*Variables!$C$18</f>
        <v>3327.8885174079983</v>
      </c>
      <c r="K78" s="77">
        <f>Factores!$J$4*C78*F78*(Factores!$E$9*Factores!$L$4+Factores!$N$4*Factores!$L$20+Factores!$P$4*Factores!$L$21)*Variables!$C$18</f>
        <v>9181.5034991679986</v>
      </c>
      <c r="L78" s="77">
        <f>Factores!$J$4*E78*F78*(Factores!$E$9*Factores!$L$4+Factores!$N$4*Factores!$L$20+Factores!$P$4*Factores!$L$21)*Variables!$C$18</f>
        <v>5853.6149817600008</v>
      </c>
      <c r="M78" s="77">
        <f t="shared" si="38"/>
        <v>3327.8885174079978</v>
      </c>
      <c r="N78" s="77">
        <f t="shared" si="7"/>
        <v>0</v>
      </c>
    </row>
    <row r="79" spans="2:14" x14ac:dyDescent="0.3">
      <c r="B79" s="50" t="s">
        <v>64</v>
      </c>
      <c r="C79" s="51">
        <v>2.8233333333333328</v>
      </c>
      <c r="D79" s="66" t="s">
        <v>167</v>
      </c>
      <c r="E79" s="74">
        <f>SUMIF(Variables!$B$4:$B$15,Formato!D79,Variables!$C$4:$C$15)</f>
        <v>1.53</v>
      </c>
      <c r="F79" s="67">
        <v>703</v>
      </c>
      <c r="G79" s="67" t="s">
        <v>120</v>
      </c>
      <c r="H79" s="50">
        <v>2015</v>
      </c>
      <c r="I79" s="84">
        <f>(C79-E79)*((Factores!$D$9*Factores!$L$4)+Factores!$N$4*Factores!$L$20+Factores!$P$4*Factores!$L$21)*Factores!$J$4*F79*Variables!$C$18</f>
        <v>3045.2464015999981</v>
      </c>
      <c r="K79" s="77">
        <f>Factores!$J$4*C79*F79*(Factores!$D$9*Factores!$L$4+Factores!$N$4*Factores!$L$20+Factores!$P$4*Factores!$L$21)*Variables!$C$18</f>
        <v>6647.7415003999986</v>
      </c>
      <c r="L79" s="77">
        <f>Factores!$J$4*E79*F79*(Factores!$D$9*Factores!$L$4+Factores!$N$4*Factores!$L$20+Factores!$P$4*Factores!$L$21)*Variables!$C$18</f>
        <v>3602.4950988000001</v>
      </c>
      <c r="M79" s="77">
        <f t="shared" ref="M79:M80" si="40">K79-L79</f>
        <v>3045.2464015999985</v>
      </c>
      <c r="N79" s="77">
        <f t="shared" ref="N79" si="41">I79-M79</f>
        <v>0</v>
      </c>
    </row>
    <row r="80" spans="2:14" x14ac:dyDescent="0.3">
      <c r="B80" s="50" t="s">
        <v>64</v>
      </c>
      <c r="C80" s="51">
        <v>2.8233333333333328</v>
      </c>
      <c r="D80" s="66" t="s">
        <v>167</v>
      </c>
      <c r="E80" s="74">
        <f>SUMIF(Variables!$B$4:$B$15,Formato!D80,Variables!$C$4:$C$15)</f>
        <v>1.53</v>
      </c>
      <c r="F80" s="67">
        <v>75624</v>
      </c>
      <c r="G80" s="67" t="s">
        <v>121</v>
      </c>
      <c r="H80" s="50">
        <v>2015</v>
      </c>
      <c r="I80" s="84">
        <f>(C80-E80)*((Factores!$E$9*Factores!$L$4)+Factores!$N$4*Factores!$L$20+Factores!$P$4*Factores!$L$21)*Factores!$J$4*F80*Variables!$C$18</f>
        <v>249661.93732147189</v>
      </c>
      <c r="K80" s="77">
        <f>Factores!$J$4*C80*F80*(Factores!$E$9*Factores!$L$4+Factores!$N$4*Factores!$L$20+Factores!$P$4*Factores!$L$21)*Variables!$C$18</f>
        <v>545009.43533836794</v>
      </c>
      <c r="L80" s="77">
        <f>Factores!$J$4*E80*F80*(Factores!$E$9*Factores!$L$4+Factores!$N$4*Factores!$L$20+Factores!$P$4*Factores!$L$21)*Variables!$C$18</f>
        <v>295347.49801689596</v>
      </c>
      <c r="M80" s="77">
        <f t="shared" si="40"/>
        <v>249661.93732147198</v>
      </c>
      <c r="N80" s="77">
        <f t="shared" si="7"/>
        <v>0</v>
      </c>
    </row>
    <row r="81" spans="2:14" x14ac:dyDescent="0.3">
      <c r="B81" s="50" t="s">
        <v>64</v>
      </c>
      <c r="C81" s="51">
        <v>2.8233333333333328</v>
      </c>
      <c r="D81" s="66" t="s">
        <v>171</v>
      </c>
      <c r="E81" s="74">
        <f>SUMIF(Variables!$B$4:$B$15,Formato!D81,Variables!$C$4:$C$15)</f>
        <v>1.9</v>
      </c>
      <c r="F81" s="67">
        <v>5593</v>
      </c>
      <c r="G81" s="67" t="s">
        <v>120</v>
      </c>
      <c r="H81" s="50">
        <v>2015</v>
      </c>
      <c r="I81" s="84">
        <f>(C81-E81)*((Factores!$D$9*Factores!$L$4)+Factores!$N$4*Factores!$L$20+Factores!$P$4*Factores!$L$21)*Factores!$J$4*F81*Variables!$C$18</f>
        <v>17296.569508399989</v>
      </c>
      <c r="K81" s="77">
        <f>Factores!$J$4*C81*F81*(Factores!$D$9*Factores!$L$4+Factores!$N$4*Factores!$L$20+Factores!$P$4*Factores!$L$21)*Variables!$C$18</f>
        <v>52888.788352399984</v>
      </c>
      <c r="L81" s="77">
        <f>Factores!$J$4*E81*F81*(Factores!$D$9*Factores!$L$4+Factores!$N$4*Factores!$L$20+Factores!$P$4*Factores!$L$21)*Variables!$C$18</f>
        <v>35592.218843999995</v>
      </c>
      <c r="M81" s="77">
        <f t="shared" ref="M81:M83" si="42">K81-L81</f>
        <v>17296.569508399989</v>
      </c>
      <c r="N81" s="77">
        <f t="shared" ref="N81:N82" si="43">I81-M81</f>
        <v>0</v>
      </c>
    </row>
    <row r="82" spans="2:14" x14ac:dyDescent="0.3">
      <c r="B82" s="50" t="s">
        <v>64</v>
      </c>
      <c r="C82" s="51">
        <v>2.8233333333333328</v>
      </c>
      <c r="D82" s="66" t="s">
        <v>172</v>
      </c>
      <c r="E82" s="74">
        <f>SUMIF(Variables!$B$4:$B$15,Formato!D82,Variables!$C$4:$C$15)</f>
        <v>2</v>
      </c>
      <c r="F82" s="67">
        <v>2618</v>
      </c>
      <c r="G82" s="67" t="s">
        <v>120</v>
      </c>
      <c r="H82" s="50">
        <v>2015</v>
      </c>
      <c r="I82" s="84">
        <f>(C82-E82)*((Factores!$D$9*Factores!$L$4)+Factores!$N$4*Factores!$L$20+Factores!$P$4*Factores!$L$21)*Factores!$J$4*F82*Variables!$C$18</f>
        <v>7219.4146023999947</v>
      </c>
      <c r="K82" s="77">
        <f>Factores!$J$4*C82*F82*(Factores!$D$9*Factores!$L$4+Factores!$N$4*Factores!$L$20+Factores!$P$4*Factores!$L$21)*Variables!$C$18</f>
        <v>24756.454122399995</v>
      </c>
      <c r="L82" s="77">
        <f>Factores!$J$4*E82*F82*(Factores!$D$9*Factores!$L$4+Factores!$N$4*Factores!$L$20+Factores!$P$4*Factores!$L$21)*Variables!$C$18</f>
        <v>17537.039519999998</v>
      </c>
      <c r="M82" s="77">
        <f t="shared" si="42"/>
        <v>7219.4146023999965</v>
      </c>
      <c r="N82" s="77">
        <f t="shared" si="43"/>
        <v>0</v>
      </c>
    </row>
    <row r="83" spans="2:14" x14ac:dyDescent="0.3">
      <c r="B83" s="50" t="s">
        <v>64</v>
      </c>
      <c r="C83" s="51">
        <v>2.8233333333333328</v>
      </c>
      <c r="D83" s="66" t="s">
        <v>172</v>
      </c>
      <c r="E83" s="74">
        <f>SUMIF(Variables!$B$4:$B$15,Formato!D83,Variables!$C$4:$C$15)</f>
        <v>2</v>
      </c>
      <c r="F83" s="67">
        <v>526</v>
      </c>
      <c r="G83" s="67" t="s">
        <v>121</v>
      </c>
      <c r="H83" s="50">
        <v>2015</v>
      </c>
      <c r="I83" s="84">
        <f>(C83-E83)*((Factores!$E$9*Factores!$L$4)+Factores!$N$4*Factores!$L$20+Factores!$P$4*Factores!$L$21)*Factores!$J$4*F83*Variables!$C$18</f>
        <v>1105.4616048319992</v>
      </c>
      <c r="K83" s="77">
        <f>Factores!$J$4*C83*F83*(Factores!$E$9*Factores!$L$4+Factores!$N$4*Factores!$L$20+Factores!$P$4*Factores!$L$21)*Variables!$C$18</f>
        <v>3790.7934384319997</v>
      </c>
      <c r="L83" s="77">
        <f>Factores!$J$4*E83*F83*(Factores!$E$9*Factores!$L$4+Factores!$N$4*Factores!$L$20+Factores!$P$4*Factores!$L$21)*Variables!$C$18</f>
        <v>2685.3318336000002</v>
      </c>
      <c r="M83" s="77">
        <f t="shared" si="42"/>
        <v>1105.4616048319995</v>
      </c>
      <c r="N83" s="77">
        <f t="shared" ref="N83:N101" si="44">I83-M83</f>
        <v>0</v>
      </c>
    </row>
    <row r="84" spans="2:14" x14ac:dyDescent="0.3">
      <c r="B84" s="50" t="s">
        <v>64</v>
      </c>
      <c r="C84" s="51">
        <v>2.8233333333333328</v>
      </c>
      <c r="D84" s="66" t="s">
        <v>169</v>
      </c>
      <c r="E84" s="74">
        <f>SUMIF(Variables!$B$4:$B$15,Formato!D84,Variables!$C$4:$C$15)</f>
        <v>1.1599999999999999</v>
      </c>
      <c r="F84" s="67">
        <v>14700</v>
      </c>
      <c r="G84" s="67" t="s">
        <v>122</v>
      </c>
      <c r="H84" s="50">
        <v>2015</v>
      </c>
      <c r="I84" s="84">
        <f>(C84-E84)*((Factores!$F$9*Factores!$L$4)+Factores!$N$4*Factores!$L$20+Factores!$P$4*Factores!$L$21)*Factores!$J$4*F84*Variables!$C$18</f>
        <v>44556.255307199979</v>
      </c>
      <c r="K84" s="77">
        <f>Factores!$J$4*C84*F84*(Factores!$F$9*Factores!$L$4+Factores!$N$4*Factores!$L$20+Factores!$P$4*Factores!$L$21)*Variables!$C$18</f>
        <v>75629.55560159999</v>
      </c>
      <c r="L84" s="77">
        <f>Factores!$J$4*E84*F84*(Factores!$F$9*Factores!$L$4+Factores!$N$4*Factores!$L$20+Factores!$P$4*Factores!$L$21)*Variables!$C$18</f>
        <v>31073.300294399993</v>
      </c>
      <c r="M84" s="77">
        <f t="shared" ref="M84" si="45">K84-L84</f>
        <v>44556.255307200001</v>
      </c>
      <c r="N84" s="77">
        <f t="shared" si="44"/>
        <v>0</v>
      </c>
    </row>
    <row r="85" spans="2:14" x14ac:dyDescent="0.3">
      <c r="B85" s="116" t="s">
        <v>178</v>
      </c>
      <c r="C85" s="117"/>
      <c r="D85" s="117"/>
      <c r="E85" s="117"/>
      <c r="F85" s="117"/>
      <c r="G85" s="117"/>
      <c r="H85" s="117"/>
      <c r="I85" s="80">
        <f>SUM(I71:I84)</f>
        <v>816273.35167705489</v>
      </c>
    </row>
    <row r="86" spans="2:14" x14ac:dyDescent="0.3">
      <c r="B86" s="50" t="s">
        <v>64</v>
      </c>
      <c r="C86" s="51">
        <v>2.8233333333333328</v>
      </c>
      <c r="D86" s="66" t="s">
        <v>183</v>
      </c>
      <c r="E86" s="74">
        <f>SUMIF(Variables!$B$4:$B$15,Formato!D86,Variables!$C$4:$C$15)</f>
        <v>1.92</v>
      </c>
      <c r="F86" s="67">
        <v>6</v>
      </c>
      <c r="G86" s="67" t="s">
        <v>121</v>
      </c>
      <c r="H86" s="50">
        <v>2016</v>
      </c>
      <c r="I86" s="84">
        <f>(C86-E86)*((Factores!$E$10*Factores!$L$4)+Factores!$N$4*Factores!$L$20+Factores!$P$4*Factores!$L$21)*Factores!$J$4*F86*Variables!$C$18</f>
        <v>13.835074655999991</v>
      </c>
      <c r="K86" s="77">
        <f>Factores!$J$4*C86*F86*(Factores!$E$10*Factores!$L$4+Factores!$N$4*Factores!$L$20+Factores!$P$4*Factores!$L$21)*Variables!$C$18</f>
        <v>43.240989791999986</v>
      </c>
      <c r="L86" s="77">
        <f>Factores!$J$4*E86*F86*(Factores!$E$10*Factores!$L$4+Factores!$N$4*Factores!$L$20+Factores!$P$4*Factores!$L$21)*Variables!$C$18</f>
        <v>29.405915135999997</v>
      </c>
      <c r="M86" s="77">
        <f t="shared" ref="M86" si="46">K86-L86</f>
        <v>13.835074655999989</v>
      </c>
      <c r="N86" s="77">
        <f t="shared" si="44"/>
        <v>0</v>
      </c>
    </row>
    <row r="87" spans="2:14" x14ac:dyDescent="0.3">
      <c r="B87" s="50" t="s">
        <v>64</v>
      </c>
      <c r="C87" s="51">
        <v>2.8233333333333301</v>
      </c>
      <c r="D87" s="66" t="s">
        <v>63</v>
      </c>
      <c r="E87" s="74">
        <f>SUMIF(Variables!$B$4:$B$15,Formato!D87,Variables!$C$4:$C$15)</f>
        <v>1.53</v>
      </c>
      <c r="F87" s="67">
        <v>369</v>
      </c>
      <c r="G87" s="67" t="s">
        <v>121</v>
      </c>
      <c r="H87" s="50">
        <v>2016</v>
      </c>
      <c r="I87" s="84">
        <f>(C87-E87)*((Factores!$E$10*Factores!$L$4)+Factores!$N$4*Factores!$L$20+Factores!$P$4*Factores!$L$21)*Factores!$J$4*F87*Variables!$C$18</f>
        <v>1218.2012968319971</v>
      </c>
      <c r="K87" s="77">
        <f>Factores!$J$4*C87*F87*(Factores!$E$10*Factores!$L$4+Factores!$N$4*Factores!$L$20+Factores!$P$4*Factores!$L$21)*Variables!$C$18</f>
        <v>2659.3208722079967</v>
      </c>
      <c r="L87" s="77">
        <f>Factores!$J$4*E87*F87*(Factores!$E$10*Factores!$L$4+Factores!$N$4*Factores!$L$20+Factores!$P$4*Factores!$L$21)*Variables!$C$18</f>
        <v>1441.1195753760001</v>
      </c>
      <c r="M87" s="77">
        <f t="shared" ref="M87:M88" si="47">K87-L87</f>
        <v>1218.2012968319966</v>
      </c>
      <c r="N87" s="77">
        <f t="shared" si="44"/>
        <v>0</v>
      </c>
    </row>
    <row r="88" spans="2:14" x14ac:dyDescent="0.3">
      <c r="B88" s="50" t="s">
        <v>64</v>
      </c>
      <c r="C88" s="51">
        <v>2.8233333333333301</v>
      </c>
      <c r="D88" s="66" t="s">
        <v>62</v>
      </c>
      <c r="E88" s="74">
        <f>SUMIF(Variables!$B$4:$B$15,Formato!D88,Variables!$C$4:$C$15)</f>
        <v>1.42</v>
      </c>
      <c r="F88" s="67">
        <v>20257</v>
      </c>
      <c r="G88" s="67" t="s">
        <v>120</v>
      </c>
      <c r="H88" s="50">
        <v>2016</v>
      </c>
      <c r="I88" s="84">
        <f>(C88-E88)*((Factores!$D$10*Factores!$L$4)+Factores!$N$4*Factores!$L$20+Factores!$P$4*Factores!$L$21)*Factores!$J$4*F88*Variables!$C$18</f>
        <v>95212.202586799773</v>
      </c>
      <c r="K88" s="77">
        <f>Factores!$J$4*C88*F88*(Factores!$D$10*Factores!$L$4+Factores!$N$4*Factores!$L$20+Factores!$P$4*Factores!$L$21)*Variables!$C$18</f>
        <v>191555.19142759978</v>
      </c>
      <c r="L88" s="77">
        <f>Factores!$J$4*E88*F88*(Factores!$D$10*Factores!$L$4+Factores!$N$4*Factores!$L$20+Factores!$P$4*Factores!$L$21)*Variables!$C$18</f>
        <v>96342.988840799982</v>
      </c>
      <c r="M88" s="77">
        <f t="shared" si="47"/>
        <v>95212.202586799802</v>
      </c>
      <c r="N88" s="77">
        <f t="shared" si="44"/>
        <v>0</v>
      </c>
    </row>
    <row r="89" spans="2:14" x14ac:dyDescent="0.3">
      <c r="B89" s="50" t="s">
        <v>64</v>
      </c>
      <c r="C89" s="51">
        <v>2.8233333333333301</v>
      </c>
      <c r="D89" s="66" t="s">
        <v>62</v>
      </c>
      <c r="E89" s="74">
        <f>SUMIF(Variables!$B$4:$B$15,Formato!D89,Variables!$C$4:$C$15)</f>
        <v>1.42</v>
      </c>
      <c r="F89" s="67">
        <v>135624</v>
      </c>
      <c r="G89" s="67" t="s">
        <v>121</v>
      </c>
      <c r="H89" s="50">
        <v>2016</v>
      </c>
      <c r="I89" s="84">
        <f>(C89-E89)*((Factores!$E$10*Factores!$L$4)+Factores!$N$4*Factores!$L$20+Factores!$P$4*Factores!$L$21)*Factores!$J$4*F89*Variables!$C$18</f>
        <v>485824.72172582289</v>
      </c>
      <c r="K89" s="77">
        <f>Factores!$J$4*C89*F89*(Factores!$E$10*Factores!$L$4+Factores!$N$4*Factores!$L$20+Factores!$P$4*Factores!$L$21)*Variables!$C$18</f>
        <v>977419.33325836691</v>
      </c>
      <c r="L89" s="77">
        <f>Factores!$J$4*E89*F89*(Factores!$E$10*Factores!$L$4+Factores!$N$4*Factores!$L$20+Factores!$P$4*Factores!$L$21)*Variables!$C$18</f>
        <v>491594.61153254396</v>
      </c>
      <c r="M89" s="77">
        <f t="shared" ref="M89:M90" si="48">K89-L89</f>
        <v>485824.72172582295</v>
      </c>
      <c r="N89" s="77">
        <f t="shared" si="44"/>
        <v>0</v>
      </c>
    </row>
    <row r="90" spans="2:14" x14ac:dyDescent="0.3">
      <c r="B90" s="50" t="s">
        <v>64</v>
      </c>
      <c r="C90" s="51">
        <v>2.8233333333333301</v>
      </c>
      <c r="D90" s="66" t="s">
        <v>168</v>
      </c>
      <c r="E90" s="74">
        <f>SUMIF(Variables!$B$4:$B$15,Formato!D90,Variables!$C$4:$C$15)</f>
        <v>0.84</v>
      </c>
      <c r="F90" s="67">
        <v>2802</v>
      </c>
      <c r="G90" s="67" t="s">
        <v>120</v>
      </c>
      <c r="H90" s="50">
        <v>2016</v>
      </c>
      <c r="I90" s="84">
        <f>(C90-E90)*((Factores!$D$10*Factores!$L$4)+Factores!$N$4*Factores!$L$20+Factores!$P$4*Factores!$L$21)*Factores!$J$4*F90*Variables!$C$18</f>
        <v>18613.176035999972</v>
      </c>
      <c r="K90" s="77">
        <f>Factores!$J$4*C90*F90*(Factores!$D$10*Factores!$L$4+Factores!$N$4*Factores!$L$20+Factores!$P$4*Factores!$L$21)*Variables!$C$18</f>
        <v>26496.403533599969</v>
      </c>
      <c r="L90" s="77">
        <f>Factores!$J$4*E90*F90*(Factores!$D$10*Factores!$L$4+Factores!$N$4*Factores!$L$20+Factores!$P$4*Factores!$L$21)*Variables!$C$18</f>
        <v>7883.227497599999</v>
      </c>
      <c r="M90" s="77">
        <f t="shared" si="48"/>
        <v>18613.176035999968</v>
      </c>
      <c r="N90" s="77">
        <f t="shared" si="44"/>
        <v>0</v>
      </c>
    </row>
    <row r="91" spans="2:14" x14ac:dyDescent="0.3">
      <c r="B91" s="50" t="s">
        <v>64</v>
      </c>
      <c r="C91" s="51">
        <v>2.8233333333333301</v>
      </c>
      <c r="D91" s="66" t="s">
        <v>168</v>
      </c>
      <c r="E91" s="74">
        <f>SUMIF(Variables!$B$4:$B$15,Formato!D91,Variables!$C$4:$C$15)</f>
        <v>0.84</v>
      </c>
      <c r="F91" s="67">
        <v>30883</v>
      </c>
      <c r="G91" s="67" t="s">
        <v>121</v>
      </c>
      <c r="H91" s="50">
        <v>2016</v>
      </c>
      <c r="I91" s="84">
        <f>(C91-E91)*((Factores!$E$10*Factores!$L$4)+Factores!$N$4*Factores!$L$20+Factores!$P$4*Factores!$L$21)*Factores!$J$4*F91*Variables!$C$18</f>
        <v>156349.82983255971</v>
      </c>
      <c r="K91" s="77">
        <f>Factores!$J$4*C91*F91*(Factores!$E$10*Factores!$L$4+Factores!$N$4*Factores!$L$20+Factores!$P$4*Factores!$L$21)*Variables!$C$18</f>
        <v>222568.58129105577</v>
      </c>
      <c r="L91" s="77">
        <f>Factores!$J$4*E91*F91*(Factores!$E$10*Factores!$L$4+Factores!$N$4*Factores!$L$20+Factores!$P$4*Factores!$L$21)*Variables!$C$18</f>
        <v>66218.751458496001</v>
      </c>
      <c r="M91" s="77">
        <f t="shared" ref="M91:M92" si="49">K91-L91</f>
        <v>156349.82983255977</v>
      </c>
      <c r="N91" s="77">
        <f t="shared" si="44"/>
        <v>0</v>
      </c>
    </row>
    <row r="92" spans="2:14" x14ac:dyDescent="0.3">
      <c r="B92" s="50" t="s">
        <v>64</v>
      </c>
      <c r="C92" s="51">
        <v>2.8233333333333301</v>
      </c>
      <c r="D92" s="66" t="s">
        <v>168</v>
      </c>
      <c r="E92" s="74">
        <f>SUMIF(Variables!$B$4:$B$15,Formato!D92,Variables!$C$4:$C$15)</f>
        <v>0.84</v>
      </c>
      <c r="F92" s="67">
        <v>10521</v>
      </c>
      <c r="G92" s="67" t="s">
        <v>122</v>
      </c>
      <c r="H92" s="50">
        <v>2016</v>
      </c>
      <c r="I92" s="84">
        <f>(C92-E92)*((Factores!$F$10*Factores!$L$4)+Factores!$N$4*Factores!$L$20+Factores!$P$4*Factores!$L$21)*Factores!$J$4*F92*Variables!$C$18</f>
        <v>38024.61186887994</v>
      </c>
      <c r="K92" s="77">
        <f>Factores!$J$4*C92*F92*(Factores!$F$10*Factores!$L$4+Factores!$N$4*Factores!$L$20+Factores!$P$4*Factores!$L$21)*Variables!$C$18</f>
        <v>54129.153366287937</v>
      </c>
      <c r="L92" s="77">
        <f>Factores!$J$4*E92*F92*(Factores!$F$10*Factores!$L$4+Factores!$N$4*Factores!$L$20+Factores!$P$4*Factores!$L$21)*Variables!$C$18</f>
        <v>16104.541497407996</v>
      </c>
      <c r="M92" s="77">
        <f t="shared" si="49"/>
        <v>38024.61186887994</v>
      </c>
      <c r="N92" s="77">
        <f t="shared" si="44"/>
        <v>0</v>
      </c>
    </row>
    <row r="93" spans="2:14" x14ac:dyDescent="0.3">
      <c r="B93" s="50" t="s">
        <v>64</v>
      </c>
      <c r="C93" s="51">
        <v>2.8233333333333301</v>
      </c>
      <c r="D93" s="66" t="s">
        <v>170</v>
      </c>
      <c r="E93" s="74">
        <f>SUMIF(Variables!$B$4:$B$15,Formato!D93,Variables!$C$4:$C$15)</f>
        <v>1.8</v>
      </c>
      <c r="F93" s="67">
        <v>11205</v>
      </c>
      <c r="G93" s="67" t="s">
        <v>120</v>
      </c>
      <c r="H93" s="50">
        <v>2016</v>
      </c>
      <c r="I93" s="84">
        <f>(C93-E93)*((Factores!$D$10*Factores!$L$4)+Factores!$N$4*Factores!$L$20+Factores!$P$4*Factores!$L$21)*Factores!$J$4*F93*Variables!$C$18</f>
        <v>38404.810313999878</v>
      </c>
      <c r="K93" s="77">
        <f>Factores!$J$4*C93*F93*(Factores!$D$10*Factores!$L$4+Factores!$N$4*Factores!$L$20+Factores!$P$4*Factores!$L$21)*Variables!$C$18</f>
        <v>105957.24539399988</v>
      </c>
      <c r="L93" s="77">
        <f>Factores!$J$4*E93*F93*(Factores!$D$10*Factores!$L$4+Factores!$N$4*Factores!$L$20+Factores!$P$4*Factores!$L$21)*Variables!$C$18</f>
        <v>67552.435079999981</v>
      </c>
      <c r="M93" s="77">
        <f t="shared" ref="M93" si="50">K93-L93</f>
        <v>38404.8103139999</v>
      </c>
      <c r="N93" s="77">
        <f t="shared" si="44"/>
        <v>0</v>
      </c>
    </row>
    <row r="94" spans="2:14" x14ac:dyDescent="0.3">
      <c r="B94" s="50" t="s">
        <v>64</v>
      </c>
      <c r="C94" s="51">
        <v>2.8233333333333328</v>
      </c>
      <c r="D94" s="66" t="s">
        <v>170</v>
      </c>
      <c r="E94" s="74">
        <f>SUMIF(Variables!$B$4:$B$15,Formato!D94,Variables!$C$4:$C$15)</f>
        <v>1.8</v>
      </c>
      <c r="F94" s="67">
        <v>1274</v>
      </c>
      <c r="G94" s="67" t="s">
        <v>121</v>
      </c>
      <c r="H94" s="50">
        <v>2016</v>
      </c>
      <c r="I94" s="84">
        <f>(C94-E94)*((Factores!$E$10*Factores!$L$4)+Factores!$N$4*Factores!$L$20+Factores!$P$4*Factores!$L$21)*Factores!$J$4*F94*Variables!$C$18</f>
        <v>3327.8885174079983</v>
      </c>
      <c r="K94" s="77">
        <f>Factores!$J$4*C94*F94*(Factores!$E$10*Factores!$L$4+Factores!$N$4*Factores!$L$20+Factores!$P$4*Factores!$L$21)*Variables!$C$18</f>
        <v>9181.5034991679986</v>
      </c>
      <c r="L94" s="77">
        <f>Factores!$J$4*E94*F94*(Factores!$E$10*Factores!$L$4+Factores!$N$4*Factores!$L$20+Factores!$P$4*Factores!$L$21)*Variables!$C$18</f>
        <v>5853.6149817600008</v>
      </c>
      <c r="M94" s="77">
        <f t="shared" ref="M94:M95" si="51">K94-L94</f>
        <v>3327.8885174079978</v>
      </c>
      <c r="N94" s="77">
        <f t="shared" si="44"/>
        <v>0</v>
      </c>
    </row>
    <row r="95" spans="2:14" x14ac:dyDescent="0.3">
      <c r="B95" s="50" t="s">
        <v>64</v>
      </c>
      <c r="C95" s="51">
        <v>2.8233333333333328</v>
      </c>
      <c r="D95" s="66" t="s">
        <v>167</v>
      </c>
      <c r="E95" s="74">
        <f>SUMIF(Variables!$B$4:$B$15,Formato!D95,Variables!$C$4:$C$15)</f>
        <v>1.53</v>
      </c>
      <c r="F95" s="67">
        <v>703</v>
      </c>
      <c r="G95" s="67" t="s">
        <v>120</v>
      </c>
      <c r="H95" s="50">
        <v>2016</v>
      </c>
      <c r="I95" s="84">
        <f>(C95-E95)*((Factores!$D$10*Factores!$L$4)+Factores!$N$4*Factores!$L$20+Factores!$P$4*Factores!$L$21)*Factores!$J$4*F95*Variables!$C$18</f>
        <v>3045.2464015999981</v>
      </c>
      <c r="K95" s="77">
        <f>Factores!$J$4*C95*F95*(Factores!$D$10*Factores!$L$4+Factores!$N$4*Factores!$L$20+Factores!$P$4*Factores!$L$21)*Variables!$C$18</f>
        <v>6647.7415003999986</v>
      </c>
      <c r="L95" s="77">
        <f>Factores!$J$4*E95*F95*(Factores!$D$10*Factores!$L$4+Factores!$N$4*Factores!$L$20+Factores!$P$4*Factores!$L$21)*Variables!$C$18</f>
        <v>3602.4950988000001</v>
      </c>
      <c r="M95" s="77">
        <f t="shared" si="51"/>
        <v>3045.2464015999985</v>
      </c>
      <c r="N95" s="77">
        <f t="shared" si="44"/>
        <v>0</v>
      </c>
    </row>
    <row r="96" spans="2:14" x14ac:dyDescent="0.3">
      <c r="B96" s="50" t="s">
        <v>64</v>
      </c>
      <c r="C96" s="51">
        <v>2.8233333333333328</v>
      </c>
      <c r="D96" s="66" t="s">
        <v>167</v>
      </c>
      <c r="E96" s="74">
        <f>SUMIF(Variables!$B$4:$B$15,Formato!D96,Variables!$C$4:$C$15)</f>
        <v>1.53</v>
      </c>
      <c r="F96" s="67">
        <v>75624</v>
      </c>
      <c r="G96" s="67" t="s">
        <v>121</v>
      </c>
      <c r="H96" s="50">
        <v>2016</v>
      </c>
      <c r="I96" s="84">
        <f>(C96-E96)*((Factores!$E$10*Factores!$L$4)+Factores!$N$4*Factores!$L$20+Factores!$P$4*Factores!$L$21)*Factores!$J$4*F96*Variables!$C$18</f>
        <v>249661.93732147189</v>
      </c>
      <c r="K96" s="77">
        <f>Factores!$J$4*C96*F96*(Factores!$E$10*Factores!$L$4+Factores!$N$4*Factores!$L$20+Factores!$P$4*Factores!$L$21)*Variables!$C$18</f>
        <v>545009.43533836794</v>
      </c>
      <c r="L96" s="77">
        <f>Factores!$J$4*E96*F96*(Factores!$E$10*Factores!$L$4+Factores!$N$4*Factores!$L$20+Factores!$P$4*Factores!$L$21)*Variables!$C$18</f>
        <v>295347.49801689596</v>
      </c>
      <c r="M96" s="77">
        <f t="shared" ref="M96:M98" si="52">K96-L96</f>
        <v>249661.93732147198</v>
      </c>
      <c r="N96" s="77">
        <f t="shared" si="44"/>
        <v>0</v>
      </c>
    </row>
    <row r="97" spans="2:14" x14ac:dyDescent="0.3">
      <c r="B97" s="50" t="s">
        <v>64</v>
      </c>
      <c r="C97" s="51">
        <v>2.8233333333333328</v>
      </c>
      <c r="D97" s="66" t="s">
        <v>171</v>
      </c>
      <c r="E97" s="74">
        <f>SUMIF(Variables!$B$4:$B$15,Formato!D97,Variables!$C$4:$C$15)</f>
        <v>1.9</v>
      </c>
      <c r="F97" s="67">
        <v>5593</v>
      </c>
      <c r="G97" s="67" t="s">
        <v>120</v>
      </c>
      <c r="H97" s="50">
        <v>2016</v>
      </c>
      <c r="I97" s="84">
        <f>(C97-E97)*((Factores!$D$10*Factores!$L$4)+Factores!$N$4*Factores!$L$20+Factores!$P$4*Factores!$L$21)*Factores!$J$4*F97*Variables!$C$18</f>
        <v>17296.569508399989</v>
      </c>
      <c r="K97" s="77">
        <f>Factores!$J$4*C97*F97*(Factores!$D$10*Factores!$L$4+Factores!$N$4*Factores!$L$20+Factores!$P$4*Factores!$L$21)*Variables!$C$18</f>
        <v>52888.788352399984</v>
      </c>
      <c r="L97" s="77">
        <f>Factores!$J$4*E97*F97*(Factores!$D$10*Factores!$L$4+Factores!$N$4*Factores!$L$20+Factores!$P$4*Factores!$L$21)*Variables!$C$18</f>
        <v>35592.218843999995</v>
      </c>
      <c r="M97" s="77">
        <f t="shared" si="52"/>
        <v>17296.569508399989</v>
      </c>
      <c r="N97" s="77">
        <f t="shared" si="44"/>
        <v>0</v>
      </c>
    </row>
    <row r="98" spans="2:14" x14ac:dyDescent="0.3">
      <c r="B98" s="50" t="s">
        <v>64</v>
      </c>
      <c r="C98" s="51">
        <v>2.8233333333333328</v>
      </c>
      <c r="D98" s="66" t="s">
        <v>172</v>
      </c>
      <c r="E98" s="74">
        <f>SUMIF(Variables!$B$4:$B$15,Formato!D98,Variables!$C$4:$C$15)</f>
        <v>2</v>
      </c>
      <c r="F98" s="67">
        <v>2697</v>
      </c>
      <c r="G98" s="67" t="s">
        <v>120</v>
      </c>
      <c r="H98" s="50">
        <v>2016</v>
      </c>
      <c r="I98" s="84">
        <f>(C98-E98)*((Factores!$D$10*Factores!$L$4)+Factores!$N$4*Factores!$L$20+Factores!$P$4*Factores!$L$21)*Factores!$J$4*F98*Variables!$C$18</f>
        <v>7437.2655395999946</v>
      </c>
      <c r="K98" s="77">
        <f>Factores!$J$4*C98*F98*(Factores!$D$10*Factores!$L$4+Factores!$N$4*Factores!$L$20+Factores!$P$4*Factores!$L$21)*Variables!$C$18</f>
        <v>25503.497619599995</v>
      </c>
      <c r="L98" s="77">
        <f>Factores!$J$4*E98*F98*(Factores!$D$10*Factores!$L$4+Factores!$N$4*Factores!$L$20+Factores!$P$4*Factores!$L$21)*Variables!$C$18</f>
        <v>18066.232079999998</v>
      </c>
      <c r="M98" s="77">
        <f t="shared" si="52"/>
        <v>7437.2655395999973</v>
      </c>
      <c r="N98" s="77">
        <f t="shared" si="44"/>
        <v>0</v>
      </c>
    </row>
    <row r="99" spans="2:14" x14ac:dyDescent="0.3">
      <c r="B99" s="50" t="s">
        <v>64</v>
      </c>
      <c r="C99" s="51">
        <v>2.8233333333333328</v>
      </c>
      <c r="D99" s="66" t="s">
        <v>172</v>
      </c>
      <c r="E99" s="74">
        <f>SUMIF(Variables!$B$4:$B$15,Formato!D99,Variables!$C$4:$C$15)</f>
        <v>2</v>
      </c>
      <c r="F99" s="67">
        <v>526</v>
      </c>
      <c r="G99" s="67" t="s">
        <v>121</v>
      </c>
      <c r="H99" s="50">
        <v>2016</v>
      </c>
      <c r="I99" s="84">
        <f>(C99-E99)*((Factores!$E$10*Factores!$L$4)+Factores!$N$4*Factores!$L$20+Factores!$P$4*Factores!$L$21)*Factores!$J$4*F99*Variables!$C$18</f>
        <v>1105.4616048319992</v>
      </c>
      <c r="K99" s="77">
        <f>Factores!$J$4*C99*F99*(Factores!$E$10*Factores!$L$4+Factores!$N$4*Factores!$L$20+Factores!$P$4*Factores!$L$21)*Variables!$C$18</f>
        <v>3790.7934384319997</v>
      </c>
      <c r="L99" s="77">
        <f>Factores!$J$4*E99*F99*(Factores!$E$10*Factores!$L$4+Factores!$N$4*Factores!$L$20+Factores!$P$4*Factores!$L$21)*Variables!$C$18</f>
        <v>2685.3318336000002</v>
      </c>
      <c r="M99" s="77">
        <f t="shared" ref="M99:M101" si="53">K99-L99</f>
        <v>1105.4616048319995</v>
      </c>
      <c r="N99" s="77">
        <f t="shared" si="44"/>
        <v>0</v>
      </c>
    </row>
    <row r="100" spans="2:14" x14ac:dyDescent="0.3">
      <c r="B100" s="50" t="s">
        <v>64</v>
      </c>
      <c r="C100" s="51">
        <v>2.8233333333333328</v>
      </c>
      <c r="D100" s="66" t="s">
        <v>169</v>
      </c>
      <c r="E100" s="74">
        <f>SUMIF(Variables!$B$4:$B$15,Formato!D100,Variables!$C$4:$C$15)</f>
        <v>1.1599999999999999</v>
      </c>
      <c r="F100" s="67">
        <v>86</v>
      </c>
      <c r="G100" s="67" t="s">
        <v>121</v>
      </c>
      <c r="H100" s="50">
        <v>2016</v>
      </c>
      <c r="I100" s="84">
        <f>(C100-E100)*((Factores!$E$10*Factores!$L$4)+Factores!$N$4*Factores!$L$20+Factores!$P$4*Factores!$L$21)*Factores!$J$4*F100*Variables!$C$18</f>
        <v>365.14046358399986</v>
      </c>
      <c r="K100" s="77">
        <f>Factores!$J$4*C100*F100*(Factores!$E$10*Factores!$L$4+Factores!$N$4*Factores!$L$20+Factores!$P$4*Factores!$L$21)*Variables!$C$18</f>
        <v>619.78752035199989</v>
      </c>
      <c r="L100" s="77">
        <f>Factores!$J$4*E100*F100*(Factores!$E$10*Factores!$L$4+Factores!$N$4*Factores!$L$20+Factores!$P$4*Factores!$L$21)*Variables!$C$18</f>
        <v>254.647056768</v>
      </c>
      <c r="M100" s="77">
        <f t="shared" si="53"/>
        <v>365.14046358399992</v>
      </c>
      <c r="N100" s="77">
        <f t="shared" si="44"/>
        <v>0</v>
      </c>
    </row>
    <row r="101" spans="2:14" x14ac:dyDescent="0.3">
      <c r="B101" s="50" t="s">
        <v>64</v>
      </c>
      <c r="C101" s="51">
        <v>2.8233333333333328</v>
      </c>
      <c r="D101" s="66" t="s">
        <v>169</v>
      </c>
      <c r="E101" s="74">
        <f>SUMIF(Variables!$B$4:$B$15,Formato!D101,Variables!$C$4:$C$15)</f>
        <v>1.1599999999999999</v>
      </c>
      <c r="F101" s="67">
        <v>25193</v>
      </c>
      <c r="G101" s="67" t="s">
        <v>122</v>
      </c>
      <c r="H101" s="50">
        <v>2016</v>
      </c>
      <c r="I101" s="84">
        <f>(C101-E101)*((Factores!$F$10*Factores!$L$4)+Factores!$N$4*Factores!$L$20+Factores!$P$4*Factores!$L$21)*Factores!$J$4*F101*Variables!$C$18</f>
        <v>76360.934690767957</v>
      </c>
      <c r="K101" s="77">
        <f>Factores!$J$4*C101*F101*(Factores!$F$10*Factores!$L$4+Factores!$N$4*Factores!$L$20+Factores!$P$4*Factores!$L$21)*Variables!$C$18</f>
        <v>129614.65267150395</v>
      </c>
      <c r="L101" s="77">
        <f>Factores!$J$4*E101*F101*(Factores!$F$10*Factores!$L$4+Factores!$N$4*Factores!$L$20+Factores!$P$4*Factores!$L$21)*Variables!$C$18</f>
        <v>53253.717980735979</v>
      </c>
      <c r="M101" s="77">
        <f t="shared" si="53"/>
        <v>76360.934690767972</v>
      </c>
      <c r="N101" s="77">
        <f t="shared" si="44"/>
        <v>0</v>
      </c>
    </row>
    <row r="102" spans="2:14" x14ac:dyDescent="0.3">
      <c r="B102" s="116" t="s">
        <v>178</v>
      </c>
      <c r="C102" s="117"/>
      <c r="D102" s="117"/>
      <c r="E102" s="117"/>
      <c r="F102" s="117"/>
      <c r="G102" s="117"/>
      <c r="H102" s="117"/>
      <c r="I102" s="80">
        <f>SUM(I86:I101)</f>
        <v>1192261.8327832143</v>
      </c>
    </row>
    <row r="103" spans="2:14" x14ac:dyDescent="0.3">
      <c r="B103" s="50" t="s">
        <v>64</v>
      </c>
      <c r="C103" s="51">
        <v>2.8233333333333328</v>
      </c>
      <c r="D103" s="66" t="s">
        <v>182</v>
      </c>
      <c r="E103" s="74">
        <f>SUMIF(Variables!$B$4:$B$15,Formato!D103,Variables!$C$4:$C$15)</f>
        <v>1.85</v>
      </c>
      <c r="F103" s="67">
        <v>1146</v>
      </c>
      <c r="G103" s="67" t="s">
        <v>121</v>
      </c>
      <c r="H103" s="50">
        <v>2017</v>
      </c>
      <c r="I103" s="84">
        <f>(C103-E103)*((Factores!$E$11*Factores!$L$4)+Factores!$N$4*Factores!$L$20+Factores!$P$4*Factores!$L$21)*Factores!$J$4*F103*Variables!$C$18</f>
        <v>2847.268574591998</v>
      </c>
      <c r="K103" s="77">
        <f>Factores!$J$4*C103*F103*(Factores!$E$11*Factores!$L$4+Factores!$N$4*Factores!$L$20+Factores!$P$4*Factores!$L$21)*Variables!$C$18</f>
        <v>8259.0290502719981</v>
      </c>
      <c r="L103" s="77">
        <f>Factores!$J$4*E103*F103*(Factores!$E$11*Factores!$L$4+Factores!$N$4*Factores!$L$20+Factores!$P$4*Factores!$L$21)*Variables!$C$18</f>
        <v>5411.7604756800001</v>
      </c>
      <c r="M103" s="77">
        <f t="shared" ref="M103" si="54">K103-L103</f>
        <v>2847.268574591998</v>
      </c>
      <c r="N103" s="77">
        <f t="shared" ref="N103:N121" si="55">I103-M103</f>
        <v>0</v>
      </c>
    </row>
    <row r="104" spans="2:14" x14ac:dyDescent="0.3">
      <c r="B104" s="50" t="s">
        <v>64</v>
      </c>
      <c r="C104" s="51">
        <v>2.8233333333333328</v>
      </c>
      <c r="D104" s="66" t="s">
        <v>183</v>
      </c>
      <c r="E104" s="74">
        <f>SUMIF(Variables!$B$4:$B$15,Formato!D104,Variables!$C$4:$C$15)</f>
        <v>1.92</v>
      </c>
      <c r="F104" s="67">
        <v>6</v>
      </c>
      <c r="G104" s="67" t="s">
        <v>121</v>
      </c>
      <c r="H104" s="50">
        <v>2017</v>
      </c>
      <c r="I104" s="84">
        <f>(C104-E104)*((Factores!$E$11*Factores!$L$4)+Factores!$N$4*Factores!$L$20+Factores!$P$4*Factores!$L$21)*Factores!$J$4*F104*Variables!$C$18</f>
        <v>13.835074655999991</v>
      </c>
      <c r="K104" s="77">
        <f>Factores!$J$4*C104*F104*(Factores!$E$11*Factores!$L$4+Factores!$N$4*Factores!$L$20+Factores!$P$4*Factores!$L$21)*Variables!$C$18</f>
        <v>43.240989791999986</v>
      </c>
      <c r="L104" s="77">
        <f>Factores!$J$4*E104*F104*(Factores!$E$11*Factores!$L$4+Factores!$N$4*Factores!$L$20+Factores!$P$4*Factores!$L$21)*Variables!$C$18</f>
        <v>29.405915135999997</v>
      </c>
      <c r="M104" s="77">
        <f t="shared" ref="M104:M106" si="56">K104-L104</f>
        <v>13.835074655999989</v>
      </c>
      <c r="N104" s="77">
        <f t="shared" si="55"/>
        <v>0</v>
      </c>
    </row>
    <row r="105" spans="2:14" x14ac:dyDescent="0.3">
      <c r="B105" s="50" t="s">
        <v>64</v>
      </c>
      <c r="C105" s="51">
        <v>2.8233333333333328</v>
      </c>
      <c r="D105" s="66" t="s">
        <v>63</v>
      </c>
      <c r="E105" s="74">
        <f>SUMIF(Variables!$B$4:$B$15,Formato!D105,Variables!$C$4:$C$15)</f>
        <v>1.53</v>
      </c>
      <c r="F105" s="67">
        <v>401</v>
      </c>
      <c r="G105" s="67" t="s">
        <v>121</v>
      </c>
      <c r="H105" s="50">
        <v>2017</v>
      </c>
      <c r="I105" s="84">
        <f>(C105-E105)*((Factores!$E$11*Factores!$L$4)+Factores!$N$4*Factores!$L$20+Factores!$P$4*Factores!$L$21)*Factores!$J$4*F105*Variables!$C$18</f>
        <v>1323.8447697279994</v>
      </c>
      <c r="K105" s="77">
        <f>Factores!$J$4*C105*F105*(Factores!$E$11*Factores!$L$4+Factores!$N$4*Factores!$L$20+Factores!$P$4*Factores!$L$21)*Variables!$C$18</f>
        <v>2889.9394844319995</v>
      </c>
      <c r="L105" s="77">
        <f>Factores!$J$4*E105*F105*(Factores!$E$11*Factores!$L$4+Factores!$N$4*Factores!$L$20+Factores!$P$4*Factores!$L$21)*Variables!$C$18</f>
        <v>1566.0947147040001</v>
      </c>
      <c r="M105" s="77">
        <f t="shared" si="56"/>
        <v>1323.8447697279994</v>
      </c>
      <c r="N105" s="77">
        <f t="shared" si="55"/>
        <v>0</v>
      </c>
    </row>
    <row r="106" spans="2:14" x14ac:dyDescent="0.3">
      <c r="B106" s="50" t="s">
        <v>64</v>
      </c>
      <c r="C106" s="51">
        <v>2.8233333333333301</v>
      </c>
      <c r="D106" s="66" t="s">
        <v>62</v>
      </c>
      <c r="E106" s="74">
        <f>SUMIF(Variables!$B$4:$B$15,Formato!D106,Variables!$C$4:$C$15)</f>
        <v>1.42</v>
      </c>
      <c r="F106" s="67">
        <v>24810</v>
      </c>
      <c r="G106" s="67" t="s">
        <v>120</v>
      </c>
      <c r="H106" s="50">
        <v>2017</v>
      </c>
      <c r="I106" s="84">
        <f>(C106-E106)*((Factores!$D$11*Factores!$L$4)+Factores!$N$4*Factores!$L$20+Factores!$P$4*Factores!$L$21)*Factores!$J$4*F106*Variables!$C$18</f>
        <v>116612.26964399974</v>
      </c>
      <c r="K106" s="77">
        <f>Factores!$J$4*C106*F106*(Factores!$D$11*Factores!$L$4+Factores!$N$4*Factores!$L$20+Factores!$P$4*Factores!$L$21)*Variables!$C$18</f>
        <v>234609.48310799972</v>
      </c>
      <c r="L106" s="77">
        <f>Factores!$J$4*E106*F106*(Factores!$D$11*Factores!$L$4+Factores!$N$4*Factores!$L$20+Factores!$P$4*Factores!$L$21)*Variables!$C$18</f>
        <v>117997.21346399999</v>
      </c>
      <c r="M106" s="77">
        <f t="shared" si="56"/>
        <v>116612.26964399974</v>
      </c>
      <c r="N106" s="77">
        <f t="shared" si="55"/>
        <v>0</v>
      </c>
    </row>
    <row r="107" spans="2:14" x14ac:dyDescent="0.3">
      <c r="B107" s="50" t="s">
        <v>64</v>
      </c>
      <c r="C107" s="51">
        <v>2.8233333333333301</v>
      </c>
      <c r="D107" s="66" t="s">
        <v>62</v>
      </c>
      <c r="E107" s="74">
        <f>SUMIF(Variables!$B$4:$B$15,Formato!D107,Variables!$C$4:$C$15)</f>
        <v>1.42</v>
      </c>
      <c r="F107" s="67">
        <v>151574</v>
      </c>
      <c r="G107" s="67" t="s">
        <v>121</v>
      </c>
      <c r="H107" s="50">
        <v>2017</v>
      </c>
      <c r="I107" s="84">
        <f>(C107-E107)*((Factores!$E$11*Factores!$L$4)+Factores!$N$4*Factores!$L$20+Factores!$P$4*Factores!$L$21)*Factores!$J$4*F107*Variables!$C$18</f>
        <v>542959.92133302276</v>
      </c>
      <c r="K107" s="77">
        <f>Factores!$J$4*C107*F107*(Factores!$E$11*Factores!$L$4+Factores!$N$4*Factores!$L$20+Factores!$P$4*Factores!$L$21)*Variables!$C$18</f>
        <v>1092368.2977887669</v>
      </c>
      <c r="L107" s="77">
        <f>Factores!$J$4*E107*F107*(Factores!$E$11*Factores!$L$4+Factores!$N$4*Factores!$L$20+Factores!$P$4*Factores!$L$21)*Variables!$C$18</f>
        <v>549408.37645574391</v>
      </c>
      <c r="M107" s="77">
        <f t="shared" ref="M107:M108" si="57">K107-L107</f>
        <v>542959.921333023</v>
      </c>
      <c r="N107" s="77">
        <f t="shared" si="55"/>
        <v>0</v>
      </c>
    </row>
    <row r="108" spans="2:14" x14ac:dyDescent="0.3">
      <c r="B108" s="50" t="s">
        <v>64</v>
      </c>
      <c r="C108" s="51">
        <v>2.8233333333333301</v>
      </c>
      <c r="D108" s="66" t="s">
        <v>62</v>
      </c>
      <c r="E108" s="74">
        <f>SUMIF(Variables!$B$4:$B$15,Formato!D108,Variables!$C$4:$C$15)</f>
        <v>1.42</v>
      </c>
      <c r="F108" s="67">
        <v>11</v>
      </c>
      <c r="G108" s="67" t="s">
        <v>122</v>
      </c>
      <c r="H108" s="50">
        <v>2017</v>
      </c>
      <c r="I108" s="84">
        <f>(C108-E108)*((Factores!$F$11*Factores!$L$4)+Factores!$N$4*Factores!$L$20+Factores!$P$4*Factores!$L$21)*Factores!$J$4*F108*Variables!$C$18</f>
        <v>28.129731343999932</v>
      </c>
      <c r="K108" s="77">
        <f>Factores!$J$4*C108*F108*(Factores!$F$11*Factores!$L$4+Factores!$N$4*Factores!$L$20+Factores!$P$4*Factores!$L$21)*Variables!$C$18</f>
        <v>56.593545007999936</v>
      </c>
      <c r="L108" s="77">
        <f>Factores!$J$4*E108*F108*(Factores!$F$11*Factores!$L$4+Factores!$N$4*Factores!$L$20+Factores!$P$4*Factores!$L$21)*Variables!$C$18</f>
        <v>28.463813663999993</v>
      </c>
      <c r="M108" s="77">
        <f t="shared" si="57"/>
        <v>28.129731343999943</v>
      </c>
      <c r="N108" s="77">
        <f t="shared" si="55"/>
        <v>0</v>
      </c>
    </row>
    <row r="109" spans="2:14" x14ac:dyDescent="0.3">
      <c r="B109" s="50" t="s">
        <v>64</v>
      </c>
      <c r="C109" s="51">
        <v>2.8233333333333301</v>
      </c>
      <c r="D109" s="66" t="s">
        <v>168</v>
      </c>
      <c r="E109" s="74">
        <f>SUMIF(Variables!$B$4:$B$15,Formato!D109,Variables!$C$4:$C$15)</f>
        <v>0.84</v>
      </c>
      <c r="F109" s="67">
        <v>2802</v>
      </c>
      <c r="G109" s="67" t="s">
        <v>120</v>
      </c>
      <c r="H109" s="50">
        <v>2017</v>
      </c>
      <c r="I109" s="84">
        <f>(C109-E109)*((Factores!$D$11*Factores!$L$4)+Factores!$N$4*Factores!$L$20+Factores!$P$4*Factores!$L$21)*Factores!$J$4*F109*Variables!$C$18</f>
        <v>18613.176035999972</v>
      </c>
      <c r="K109" s="77">
        <f>Factores!$J$4*C109*F109*(Factores!$D$11*Factores!$L$4+Factores!$N$4*Factores!$L$20+Factores!$P$4*Factores!$L$21)*Variables!$C$18</f>
        <v>26496.403533599969</v>
      </c>
      <c r="L109" s="77">
        <f>Factores!$J$4*E109*F109*(Factores!$D$11*Factores!$L$4+Factores!$N$4*Factores!$L$20+Factores!$P$4*Factores!$L$21)*Variables!$C$18</f>
        <v>7883.227497599999</v>
      </c>
      <c r="M109" s="77">
        <f t="shared" ref="M109" si="58">K109-L109</f>
        <v>18613.176035999968</v>
      </c>
      <c r="N109" s="77">
        <f t="shared" si="55"/>
        <v>0</v>
      </c>
    </row>
    <row r="110" spans="2:14" x14ac:dyDescent="0.3">
      <c r="B110" s="50" t="s">
        <v>64</v>
      </c>
      <c r="C110" s="51">
        <v>2.8233333333333301</v>
      </c>
      <c r="D110" s="66" t="s">
        <v>168</v>
      </c>
      <c r="E110" s="74">
        <f>SUMIF(Variables!$B$4:$B$15,Formato!D110,Variables!$C$4:$C$15)</f>
        <v>0.84</v>
      </c>
      <c r="F110" s="67">
        <v>31388</v>
      </c>
      <c r="G110" s="67" t="s">
        <v>121</v>
      </c>
      <c r="H110" s="50">
        <v>2017</v>
      </c>
      <c r="I110" s="84">
        <f>(C110-E110)*((Factores!$E$11*Factores!$L$4)+Factores!$N$4*Factores!$L$20+Factores!$P$4*Factores!$L$21)*Factores!$J$4*F110*Variables!$C$18</f>
        <v>158906.46824415974</v>
      </c>
      <c r="K110" s="77">
        <f>Factores!$J$4*C110*F110*(Factores!$E$11*Factores!$L$4+Factores!$N$4*Factores!$L$20+Factores!$P$4*Factores!$L$21)*Variables!$C$18</f>
        <v>226208.03126521574</v>
      </c>
      <c r="L110" s="77">
        <f>Factores!$J$4*E110*F110*(Factores!$E$11*Factores!$L$4+Factores!$N$4*Factores!$L$20+Factores!$P$4*Factores!$L$21)*Variables!$C$18</f>
        <v>67301.56302105599</v>
      </c>
      <c r="M110" s="77">
        <f t="shared" ref="M110:M111" si="59">K110-L110</f>
        <v>158906.46824415977</v>
      </c>
      <c r="N110" s="77">
        <f t="shared" si="55"/>
        <v>0</v>
      </c>
    </row>
    <row r="111" spans="2:14" x14ac:dyDescent="0.3">
      <c r="B111" s="50" t="s">
        <v>64</v>
      </c>
      <c r="C111" s="51">
        <v>2.8233333333333301</v>
      </c>
      <c r="D111" s="66" t="s">
        <v>168</v>
      </c>
      <c r="E111" s="74">
        <f>SUMIF(Variables!$B$4:$B$15,Formato!D111,Variables!$C$4:$C$15)</f>
        <v>0.84</v>
      </c>
      <c r="F111" s="67">
        <v>10521</v>
      </c>
      <c r="G111" s="67" t="s">
        <v>122</v>
      </c>
      <c r="H111" s="50">
        <v>2017</v>
      </c>
      <c r="I111" s="84">
        <f>(C111-E111)*((Factores!$F$11*Factores!$L$4)+Factores!$N$4*Factores!$L$20+Factores!$P$4*Factores!$L$21)*Factores!$J$4*F111*Variables!$C$18</f>
        <v>38024.61186887994</v>
      </c>
      <c r="K111" s="77">
        <f>Factores!$J$4*C111*F111*(Factores!$F$11*Factores!$L$4+Factores!$N$4*Factores!$L$20+Factores!$P$4*Factores!$L$21)*Variables!$C$18</f>
        <v>54129.153366287937</v>
      </c>
      <c r="L111" s="77">
        <f>Factores!$J$4*E111*F111*(Factores!$F$11*Factores!$L$4+Factores!$N$4*Factores!$L$20+Factores!$P$4*Factores!$L$21)*Variables!$C$18</f>
        <v>16104.541497407996</v>
      </c>
      <c r="M111" s="77">
        <f t="shared" si="59"/>
        <v>38024.61186887994</v>
      </c>
      <c r="N111" s="77">
        <f t="shared" si="55"/>
        <v>0</v>
      </c>
    </row>
    <row r="112" spans="2:14" x14ac:dyDescent="0.3">
      <c r="B112" s="50" t="s">
        <v>64</v>
      </c>
      <c r="C112" s="51">
        <v>2.8233333333333301</v>
      </c>
      <c r="D112" s="66" t="s">
        <v>170</v>
      </c>
      <c r="E112" s="74">
        <f>SUMIF(Variables!$B$4:$B$15,Formato!D112,Variables!$C$4:$C$15)</f>
        <v>1.8</v>
      </c>
      <c r="F112" s="67">
        <v>11205</v>
      </c>
      <c r="G112" s="67" t="s">
        <v>120</v>
      </c>
      <c r="H112" s="50">
        <v>2017</v>
      </c>
      <c r="I112" s="84">
        <f>(C112-E112)*((Factores!$D$11*Factores!$L$4)+Factores!$N$4*Factores!$L$20+Factores!$P$4*Factores!$L$21)*Factores!$J$4*F112*Variables!$C$18</f>
        <v>38404.810313999878</v>
      </c>
      <c r="K112" s="77">
        <f>Factores!$J$4*C112*F112*(Factores!$D$11*Factores!$L$4+Factores!$N$4*Factores!$L$20+Factores!$P$4*Factores!$L$21)*Variables!$C$18</f>
        <v>105957.24539399988</v>
      </c>
      <c r="L112" s="77">
        <f>Factores!$J$4*E112*F112*(Factores!$D$11*Factores!$L$4+Factores!$N$4*Factores!$L$20+Factores!$P$4*Factores!$L$21)*Variables!$C$18</f>
        <v>67552.435079999981</v>
      </c>
      <c r="M112" s="77">
        <f t="shared" ref="M112" si="60">K112-L112</f>
        <v>38404.8103139999</v>
      </c>
      <c r="N112" s="77">
        <f t="shared" si="55"/>
        <v>0</v>
      </c>
    </row>
    <row r="113" spans="2:14" x14ac:dyDescent="0.3">
      <c r="B113" s="50" t="s">
        <v>64</v>
      </c>
      <c r="C113" s="51">
        <v>2.8233333333333301</v>
      </c>
      <c r="D113" s="66" t="s">
        <v>170</v>
      </c>
      <c r="E113" s="74">
        <f>SUMIF(Variables!$B$4:$B$15,Formato!D113,Variables!$C$4:$C$15)</f>
        <v>1.8</v>
      </c>
      <c r="F113" s="67">
        <v>1274</v>
      </c>
      <c r="G113" s="67" t="s">
        <v>121</v>
      </c>
      <c r="H113" s="50">
        <v>2017</v>
      </c>
      <c r="I113" s="84">
        <f>(C113-E113)*((Factores!$E$11*Factores!$L$4)+Factores!$N$4*Factores!$L$20+Factores!$P$4*Factores!$L$21)*Factores!$J$4*F113*Variables!$C$18</f>
        <v>3327.8885174079896</v>
      </c>
      <c r="K113" s="77">
        <f>Factores!$J$4*C113*F113*(Factores!$E$11*Factores!$L$4+Factores!$N$4*Factores!$L$20+Factores!$P$4*Factores!$L$21)*Variables!$C$18</f>
        <v>9181.5034991679895</v>
      </c>
      <c r="L113" s="77">
        <f>Factores!$J$4*E113*F113*(Factores!$E$11*Factores!$L$4+Factores!$N$4*Factores!$L$20+Factores!$P$4*Factores!$L$21)*Variables!$C$18</f>
        <v>5853.6149817600008</v>
      </c>
      <c r="M113" s="77">
        <f t="shared" ref="M113:M114" si="61">K113-L113</f>
        <v>3327.8885174079887</v>
      </c>
      <c r="N113" s="77">
        <f t="shared" si="55"/>
        <v>0</v>
      </c>
    </row>
    <row r="114" spans="2:14" x14ac:dyDescent="0.3">
      <c r="B114" s="50" t="s">
        <v>64</v>
      </c>
      <c r="C114" s="51">
        <v>2.8233333333333301</v>
      </c>
      <c r="D114" s="66" t="s">
        <v>167</v>
      </c>
      <c r="E114" s="74">
        <f>SUMIF(Variables!$B$4:$B$15,Formato!D114,Variables!$C$4:$C$15)</f>
        <v>1.53</v>
      </c>
      <c r="F114" s="67">
        <v>703</v>
      </c>
      <c r="G114" s="67" t="s">
        <v>120</v>
      </c>
      <c r="H114" s="50">
        <v>2017</v>
      </c>
      <c r="I114" s="84">
        <f>(C114-E114)*((Factores!$D$11*Factores!$L$4)+Factores!$N$4*Factores!$L$20+Factores!$P$4*Factores!$L$21)*Factores!$J$4*F114*Variables!$C$18</f>
        <v>3045.2464015999926</v>
      </c>
      <c r="K114" s="77">
        <f>Factores!$J$4*C114*F114*(Factores!$D$11*Factores!$L$4+Factores!$N$4*Factores!$L$20+Factores!$P$4*Factores!$L$21)*Variables!$C$18</f>
        <v>6647.7415003999922</v>
      </c>
      <c r="L114" s="77">
        <f>Factores!$J$4*E114*F114*(Factores!$D$11*Factores!$L$4+Factores!$N$4*Factores!$L$20+Factores!$P$4*Factores!$L$21)*Variables!$C$18</f>
        <v>3602.4950988000001</v>
      </c>
      <c r="M114" s="77">
        <f t="shared" si="61"/>
        <v>3045.2464015999922</v>
      </c>
      <c r="N114" s="77">
        <f t="shared" si="55"/>
        <v>0</v>
      </c>
    </row>
    <row r="115" spans="2:14" x14ac:dyDescent="0.3">
      <c r="B115" s="50" t="s">
        <v>64</v>
      </c>
      <c r="C115" s="51">
        <v>2.8233333333333301</v>
      </c>
      <c r="D115" s="66" t="s">
        <v>167</v>
      </c>
      <c r="E115" s="74">
        <f>SUMIF(Variables!$B$4:$B$15,Formato!D115,Variables!$C$4:$C$15)</f>
        <v>1.53</v>
      </c>
      <c r="F115" s="67">
        <v>75624</v>
      </c>
      <c r="G115" s="67" t="s">
        <v>121</v>
      </c>
      <c r="H115" s="50">
        <v>2017</v>
      </c>
      <c r="I115" s="84">
        <f>(C115-E115)*((Factores!$E$11*Factores!$L$4)+Factores!$N$4*Factores!$L$20+Factores!$P$4*Factores!$L$21)*Factores!$J$4*F115*Variables!$C$18</f>
        <v>249661.9373214714</v>
      </c>
      <c r="K115" s="77">
        <f>Factores!$J$4*C115*F115*(Factores!$E$11*Factores!$L$4+Factores!$N$4*Factores!$L$20+Factores!$P$4*Factores!$L$21)*Variables!$C$18</f>
        <v>545009.43533836748</v>
      </c>
      <c r="L115" s="77">
        <f>Factores!$J$4*E115*F115*(Factores!$E$11*Factores!$L$4+Factores!$N$4*Factores!$L$20+Factores!$P$4*Factores!$L$21)*Variables!$C$18</f>
        <v>295347.49801689596</v>
      </c>
      <c r="M115" s="77">
        <f t="shared" ref="M115:M117" si="62">K115-L115</f>
        <v>249661.93732147152</v>
      </c>
      <c r="N115" s="77">
        <f t="shared" si="55"/>
        <v>0</v>
      </c>
    </row>
    <row r="116" spans="2:14" x14ac:dyDescent="0.3">
      <c r="B116" s="50" t="s">
        <v>64</v>
      </c>
      <c r="C116" s="51">
        <v>2.8233333333333301</v>
      </c>
      <c r="D116" s="66" t="s">
        <v>171</v>
      </c>
      <c r="E116" s="74">
        <f>SUMIF(Variables!$B$4:$B$15,Formato!D116,Variables!$C$4:$C$15)</f>
        <v>1.9</v>
      </c>
      <c r="F116" s="67">
        <v>5593</v>
      </c>
      <c r="G116" s="67" t="s">
        <v>120</v>
      </c>
      <c r="H116" s="50">
        <v>2017</v>
      </c>
      <c r="I116" s="84">
        <f>(C116-E116)*((Factores!$D$11*Factores!$L$4)+Factores!$N$4*Factores!$L$20+Factores!$P$4*Factores!$L$21)*Factores!$J$4*F116*Variables!$C$18</f>
        <v>17296.569508399942</v>
      </c>
      <c r="K116" s="77">
        <f>Factores!$J$4*C116*F116*(Factores!$D$11*Factores!$L$4+Factores!$N$4*Factores!$L$20+Factores!$P$4*Factores!$L$21)*Variables!$C$18</f>
        <v>52888.788352399941</v>
      </c>
      <c r="L116" s="77">
        <f>Factores!$J$4*E116*F116*(Factores!$D$11*Factores!$L$4+Factores!$N$4*Factores!$L$20+Factores!$P$4*Factores!$L$21)*Variables!$C$18</f>
        <v>35592.218843999995</v>
      </c>
      <c r="M116" s="77">
        <f t="shared" si="62"/>
        <v>17296.569508399945</v>
      </c>
      <c r="N116" s="77">
        <f t="shared" si="55"/>
        <v>0</v>
      </c>
    </row>
    <row r="117" spans="2:14" x14ac:dyDescent="0.3">
      <c r="B117" s="50" t="s">
        <v>64</v>
      </c>
      <c r="C117" s="51">
        <v>2.8233333333333301</v>
      </c>
      <c r="D117" s="66" t="s">
        <v>172</v>
      </c>
      <c r="E117" s="74">
        <f>SUMIF(Variables!$B$4:$B$15,Formato!D117,Variables!$C$4:$C$15)</f>
        <v>2</v>
      </c>
      <c r="F117" s="67">
        <v>2697</v>
      </c>
      <c r="G117" s="67" t="s">
        <v>120</v>
      </c>
      <c r="H117" s="50">
        <v>2017</v>
      </c>
      <c r="I117" s="84">
        <f>(C117-E117)*((Factores!$D$11*Factores!$L$4)+Factores!$N$4*Factores!$L$20+Factores!$P$4*Factores!$L$21)*Factores!$J$4*F117*Variables!$C$18</f>
        <v>7437.2655395999709</v>
      </c>
      <c r="K117" s="77">
        <f>Factores!$J$4*C117*F117*(Factores!$D$11*Factores!$L$4+Factores!$N$4*Factores!$L$20+Factores!$P$4*Factores!$L$21)*Variables!$C$18</f>
        <v>25503.49761959997</v>
      </c>
      <c r="L117" s="77">
        <f>Factores!$J$4*E117*F117*(Factores!$D$11*Factores!$L$4+Factores!$N$4*Factores!$L$20+Factores!$P$4*Factores!$L$21)*Variables!$C$18</f>
        <v>18066.232079999998</v>
      </c>
      <c r="M117" s="77">
        <f t="shared" si="62"/>
        <v>7437.2655395999718</v>
      </c>
      <c r="N117" s="77">
        <f t="shared" si="55"/>
        <v>0</v>
      </c>
    </row>
    <row r="118" spans="2:14" x14ac:dyDescent="0.3">
      <c r="B118" s="50" t="s">
        <v>64</v>
      </c>
      <c r="C118" s="51">
        <v>2.8233333333333301</v>
      </c>
      <c r="D118" s="66" t="s">
        <v>172</v>
      </c>
      <c r="E118" s="74">
        <f>SUMIF(Variables!$B$4:$B$15,Formato!D118,Variables!$C$4:$C$15)</f>
        <v>2</v>
      </c>
      <c r="F118" s="67">
        <v>526</v>
      </c>
      <c r="G118" s="67" t="s">
        <v>121</v>
      </c>
      <c r="H118" s="50">
        <v>2017</v>
      </c>
      <c r="I118" s="84">
        <f>(C118-E118)*((Factores!$E$11*Factores!$L$4)+Factores!$N$4*Factores!$L$20+Factores!$P$4*Factores!$L$21)*Factores!$J$4*F118*Variables!$C$18</f>
        <v>1105.4616048319958</v>
      </c>
      <c r="K118" s="77">
        <f>Factores!$J$4*C118*F118*(Factores!$E$11*Factores!$L$4+Factores!$N$4*Factores!$L$20+Factores!$P$4*Factores!$L$21)*Variables!$C$18</f>
        <v>3790.793438431996</v>
      </c>
      <c r="L118" s="77">
        <f>Factores!$J$4*E118*F118*(Factores!$E$11*Factores!$L$4+Factores!$N$4*Factores!$L$20+Factores!$P$4*Factores!$L$21)*Variables!$C$18</f>
        <v>2685.3318336000002</v>
      </c>
      <c r="M118" s="77">
        <f t="shared" ref="M118:M120" si="63">K118-L118</f>
        <v>1105.4616048319958</v>
      </c>
      <c r="N118" s="77">
        <f t="shared" si="55"/>
        <v>0</v>
      </c>
    </row>
    <row r="119" spans="2:14" x14ac:dyDescent="0.3">
      <c r="B119" s="50" t="s">
        <v>64</v>
      </c>
      <c r="C119" s="51">
        <v>2.8233333333333301</v>
      </c>
      <c r="D119" s="66" t="s">
        <v>184</v>
      </c>
      <c r="E119" s="74">
        <f>SUMIF(Variables!$B$4:$B$15,Formato!D119,Variables!$C$4:$C$15)</f>
        <v>1.7</v>
      </c>
      <c r="F119" s="67">
        <v>299</v>
      </c>
      <c r="G119" s="67" t="s">
        <v>122</v>
      </c>
      <c r="H119" s="50">
        <v>2017</v>
      </c>
      <c r="I119" s="84">
        <f>(C119-E119)*((Factores!$F$11*Factores!$L$4)+Factores!$N$4*Factores!$L$20+Factores!$P$4*Factores!$L$21)*Factores!$J$4*F119*Variables!$C$18</f>
        <v>612.05703291199814</v>
      </c>
      <c r="K119" s="77">
        <f>Factores!$J$4*C119*F119*(Factores!$F$11*Factores!$L$4+Factores!$N$4*Factores!$L$20+Factores!$P$4*Factores!$L$21)*Variables!$C$18</f>
        <v>1538.3154506719982</v>
      </c>
      <c r="L119" s="77">
        <f>Factores!$J$4*E119*F119*(Factores!$F$11*Factores!$L$4+Factores!$N$4*Factores!$L$20+Factores!$P$4*Factores!$L$21)*Variables!$C$18</f>
        <v>926.25841775999993</v>
      </c>
      <c r="M119" s="77">
        <f t="shared" si="63"/>
        <v>612.05703291199825</v>
      </c>
      <c r="N119" s="77">
        <f t="shared" si="55"/>
        <v>0</v>
      </c>
    </row>
    <row r="120" spans="2:14" x14ac:dyDescent="0.3">
      <c r="B120" s="50" t="s">
        <v>64</v>
      </c>
      <c r="C120" s="51">
        <v>2.8233333333333328</v>
      </c>
      <c r="D120" s="66" t="s">
        <v>169</v>
      </c>
      <c r="E120" s="74">
        <f>SUMIF(Variables!$B$4:$B$15,Formato!D120,Variables!$C$4:$C$15)</f>
        <v>1.1599999999999999</v>
      </c>
      <c r="F120" s="67">
        <v>86</v>
      </c>
      <c r="G120" s="67" t="s">
        <v>121</v>
      </c>
      <c r="H120" s="50">
        <v>2017</v>
      </c>
      <c r="I120" s="84">
        <f>(C120-E120)*((Factores!$E$11*Factores!$L$4)+Factores!$N$4*Factores!$L$20+Factores!$P$4*Factores!$L$21)*Factores!$J$4*F120*Variables!$C$18</f>
        <v>365.14046358399986</v>
      </c>
      <c r="K120" s="77">
        <f>Factores!$J$4*C120*F120*(Factores!$E$11*Factores!$L$4+Factores!$N$4*Factores!$L$20+Factores!$P$4*Factores!$L$21)*Variables!$C$18</f>
        <v>619.78752035199989</v>
      </c>
      <c r="L120" s="77">
        <f>Factores!$J$4*E120*F120*(Factores!$E$11*Factores!$L$4+Factores!$N$4*Factores!$L$20+Factores!$P$4*Factores!$L$21)*Variables!$C$18</f>
        <v>254.647056768</v>
      </c>
      <c r="M120" s="77">
        <f t="shared" si="63"/>
        <v>365.14046358399992</v>
      </c>
      <c r="N120" s="77">
        <f t="shared" si="55"/>
        <v>0</v>
      </c>
    </row>
    <row r="121" spans="2:14" x14ac:dyDescent="0.3">
      <c r="B121" s="50" t="s">
        <v>64</v>
      </c>
      <c r="C121" s="51">
        <v>2.8233333333333328</v>
      </c>
      <c r="D121" s="66" t="s">
        <v>169</v>
      </c>
      <c r="E121" s="74">
        <f>SUMIF(Variables!$B$4:$B$15,Formato!D121,Variables!$C$4:$C$15)</f>
        <v>1.1599999999999999</v>
      </c>
      <c r="F121" s="67">
        <v>31161</v>
      </c>
      <c r="G121" s="67" t="s">
        <v>122</v>
      </c>
      <c r="H121" s="50">
        <v>2017</v>
      </c>
      <c r="I121" s="84">
        <f>(C121-E121)*((Factores!$F$11*Factores!$L$4)+Factores!$N$4*Factores!$L$20+Factores!$P$4*Factores!$L$21)*Factores!$J$4*F121*Variables!$C$18</f>
        <v>94450.168137935951</v>
      </c>
      <c r="K121" s="77">
        <f>Factores!$J$4*C121*F121*(Factores!$F$11*Factores!$L$4+Factores!$N$4*Factores!$L$20+Factores!$P$4*Factores!$L$21)*Variables!$C$18</f>
        <v>160319.22327220795</v>
      </c>
      <c r="L121" s="77">
        <f>Factores!$J$4*E121*F121*(Factores!$F$11*Factores!$L$4+Factores!$N$4*Factores!$L$20+Factores!$P$4*Factores!$L$21)*Variables!$C$18</f>
        <v>65869.055134271985</v>
      </c>
      <c r="M121" s="77">
        <f t="shared" ref="M121" si="64">K121-L121</f>
        <v>94450.168137935965</v>
      </c>
      <c r="N121" s="77">
        <f t="shared" si="55"/>
        <v>0</v>
      </c>
    </row>
    <row r="122" spans="2:14" x14ac:dyDescent="0.3">
      <c r="B122" s="116" t="s">
        <v>178</v>
      </c>
      <c r="C122" s="117"/>
      <c r="D122" s="117"/>
      <c r="E122" s="117"/>
      <c r="F122" s="117"/>
      <c r="G122" s="117"/>
      <c r="H122" s="117"/>
      <c r="I122" s="80">
        <f>SUM(I103:I121)</f>
        <v>1295036.0701181255</v>
      </c>
    </row>
    <row r="123" spans="2:14" x14ac:dyDescent="0.3">
      <c r="B123" s="50" t="s">
        <v>64</v>
      </c>
      <c r="C123" s="51">
        <v>2.8233333333333328</v>
      </c>
      <c r="D123" s="66" t="s">
        <v>182</v>
      </c>
      <c r="E123" s="74">
        <f>SUMIF(Variables!$B$4:$B$15,Formato!D123,Variables!$C$4:$C$15)</f>
        <v>1.85</v>
      </c>
      <c r="F123" s="67">
        <v>1146</v>
      </c>
      <c r="G123" s="67" t="s">
        <v>121</v>
      </c>
      <c r="H123" s="50">
        <v>2018</v>
      </c>
      <c r="I123" s="84">
        <f>(C123-E123)*((Factores!$E$12*Factores!$L$4)+Factores!$N$4*Factores!$L$20+Factores!$P$4*Factores!$L$21)*Factores!$J$4*F123*Variables!$C$18</f>
        <v>2847.268574591998</v>
      </c>
      <c r="K123" s="77">
        <f>Factores!$J$4*C123*F123*(Factores!$E$12*Factores!$L$4+Factores!$N$4*Factores!$L$20+Factores!$P$4*Factores!$L$21)*Variables!$C$18</f>
        <v>8259.0290502719981</v>
      </c>
      <c r="L123" s="77">
        <f>Factores!$J$4*E123*F123*(Factores!$E$12*Factores!$L$4+Factores!$N$4*Factores!$L$20+Factores!$P$4*Factores!$L$21)*Variables!$C$18</f>
        <v>5411.7604756800001</v>
      </c>
      <c r="M123" s="77">
        <f t="shared" ref="M123:M131" si="65">K123-L123</f>
        <v>2847.268574591998</v>
      </c>
      <c r="N123" s="77">
        <f t="shared" ref="N123:N141" si="66">I123-M123</f>
        <v>0</v>
      </c>
    </row>
    <row r="124" spans="2:14" x14ac:dyDescent="0.3">
      <c r="B124" s="50" t="s">
        <v>64</v>
      </c>
      <c r="C124" s="51">
        <v>2.8233333333333328</v>
      </c>
      <c r="D124" s="66" t="s">
        <v>183</v>
      </c>
      <c r="E124" s="74">
        <f>SUMIF(Variables!$B$4:$B$15,Formato!D124,Variables!$C$4:$C$15)</f>
        <v>1.92</v>
      </c>
      <c r="F124" s="67">
        <v>6</v>
      </c>
      <c r="G124" s="67" t="s">
        <v>121</v>
      </c>
      <c r="H124" s="50">
        <v>2018</v>
      </c>
      <c r="I124" s="84">
        <f>(C124-E124)*((Factores!$E$12*Factores!$L$4)+Factores!$N$4*Factores!$L$20+Factores!$P$4*Factores!$L$21)*Factores!$J$4*F124*Variables!$C$18</f>
        <v>13.835074655999991</v>
      </c>
      <c r="K124" s="77">
        <f>Factores!$J$4*C124*F124*(Factores!$E$12*Factores!$L$4+Factores!$N$4*Factores!$L$20+Factores!$P$4*Factores!$L$21)*Variables!$C$18</f>
        <v>43.240989791999986</v>
      </c>
      <c r="L124" s="77">
        <f>Factores!$J$4*E124*F124*(Factores!$E$12*Factores!$L$4+Factores!$N$4*Factores!$L$20+Factores!$P$4*Factores!$L$21)*Variables!$C$18</f>
        <v>29.405915135999997</v>
      </c>
      <c r="M124" s="77">
        <f t="shared" ref="M124:M125" si="67">K124-L124</f>
        <v>13.835074655999989</v>
      </c>
      <c r="N124" s="77">
        <f t="shared" si="66"/>
        <v>0</v>
      </c>
    </row>
    <row r="125" spans="2:14" x14ac:dyDescent="0.3">
      <c r="B125" s="50" t="s">
        <v>64</v>
      </c>
      <c r="C125" s="51">
        <v>2.8233333333333301</v>
      </c>
      <c r="D125" s="66" t="s">
        <v>63</v>
      </c>
      <c r="E125" s="74">
        <f>SUMIF(Variables!$B$4:$B$15,Formato!D125,Variables!$C$4:$C$15)</f>
        <v>1.53</v>
      </c>
      <c r="F125" s="67">
        <v>401</v>
      </c>
      <c r="G125" s="67" t="s">
        <v>121</v>
      </c>
      <c r="H125" s="50">
        <v>2018</v>
      </c>
      <c r="I125" s="84">
        <f>(C125-E125)*((Factores!$E$12*Factores!$L$4)+Factores!$N$4*Factores!$L$20+Factores!$P$4*Factores!$L$21)*Factores!$J$4*F125*Variables!$C$18</f>
        <v>1323.8447697279967</v>
      </c>
      <c r="K125" s="77">
        <f>Factores!$J$4*C125*F125*(Factores!$E$12*Factores!$L$4+Factores!$N$4*Factores!$L$20+Factores!$P$4*Factores!$L$21)*Variables!$C$18</f>
        <v>2889.9394844319972</v>
      </c>
      <c r="L125" s="77">
        <f>Factores!$J$4*E125*F125*(Factores!$E$12*Factores!$L$4+Factores!$N$4*Factores!$L$20+Factores!$P$4*Factores!$L$21)*Variables!$C$18</f>
        <v>1566.0947147040001</v>
      </c>
      <c r="M125" s="77">
        <f t="shared" si="67"/>
        <v>1323.8447697279971</v>
      </c>
      <c r="N125" s="77">
        <f t="shared" si="66"/>
        <v>0</v>
      </c>
    </row>
    <row r="126" spans="2:14" x14ac:dyDescent="0.3">
      <c r="B126" s="50" t="s">
        <v>64</v>
      </c>
      <c r="C126" s="51">
        <v>2.8233333333333301</v>
      </c>
      <c r="D126" s="66" t="s">
        <v>62</v>
      </c>
      <c r="E126" s="74">
        <f>SUMIF(Variables!$B$4:$B$15,Formato!D126,Variables!$C$4:$C$15)</f>
        <v>1.42</v>
      </c>
      <c r="F126" s="67">
        <v>24810</v>
      </c>
      <c r="G126" s="67" t="s">
        <v>120</v>
      </c>
      <c r="H126" s="50">
        <v>2018</v>
      </c>
      <c r="I126" s="84">
        <f>(C126-E126)*((Factores!$D$12*Factores!$L$4)+Factores!$N$4*Factores!$L$20+Factores!$P$4*Factores!$L$21)*Factores!$J$4*F126*Variables!$C$18</f>
        <v>116612.26964399974</v>
      </c>
      <c r="K126" s="77">
        <f>Factores!$J$4*C126*F126*(Factores!$D$12*Factores!$L$4+Factores!$N$4*Factores!$L$20+Factores!$P$4*Factores!$L$21)*Variables!$C$18</f>
        <v>234609.48310799972</v>
      </c>
      <c r="L126" s="77">
        <f>Factores!$J$4*E126*F126*(Factores!$D$12*Factores!$L$4+Factores!$N$4*Factores!$L$20+Factores!$P$4*Factores!$L$21)*Variables!$C$18</f>
        <v>117997.21346399999</v>
      </c>
      <c r="M126" s="77">
        <f t="shared" si="65"/>
        <v>116612.26964399974</v>
      </c>
      <c r="N126" s="77">
        <f t="shared" si="66"/>
        <v>0</v>
      </c>
    </row>
    <row r="127" spans="2:14" x14ac:dyDescent="0.3">
      <c r="B127" s="50" t="s">
        <v>64</v>
      </c>
      <c r="C127" s="51">
        <v>2.8233333333333301</v>
      </c>
      <c r="D127" s="66" t="s">
        <v>62</v>
      </c>
      <c r="E127" s="74">
        <f>SUMIF(Variables!$B$4:$B$15,Formato!D127,Variables!$C$4:$C$15)</f>
        <v>1.42</v>
      </c>
      <c r="F127" s="67">
        <v>151684</v>
      </c>
      <c r="G127" s="67" t="s">
        <v>121</v>
      </c>
      <c r="H127" s="50">
        <v>2018</v>
      </c>
      <c r="I127" s="84">
        <f>(C127-E127)*((Factores!$E$12*Factores!$L$4)+Factores!$N$4*Factores!$L$20+Factores!$P$4*Factores!$L$21)*Factores!$J$4*F127*Variables!$C$18</f>
        <v>543353.95719238278</v>
      </c>
      <c r="K127" s="77">
        <f>Factores!$J$4*C127*F127*(Factores!$E$12*Factores!$L$4+Factores!$N$4*Factores!$L$20+Factores!$P$4*Factores!$L$21)*Variables!$C$18</f>
        <v>1093161.0492682869</v>
      </c>
      <c r="L127" s="77">
        <f>Factores!$J$4*E127*F127*(Factores!$E$12*Factores!$L$4+Factores!$N$4*Factores!$L$20+Factores!$P$4*Factores!$L$21)*Variables!$C$18</f>
        <v>549807.0920759039</v>
      </c>
      <c r="M127" s="77">
        <f t="shared" ref="M127:M128" si="68">K127-L127</f>
        <v>543353.95719238301</v>
      </c>
      <c r="N127" s="77">
        <f t="shared" si="66"/>
        <v>0</v>
      </c>
    </row>
    <row r="128" spans="2:14" x14ac:dyDescent="0.3">
      <c r="B128" s="50" t="s">
        <v>64</v>
      </c>
      <c r="C128" s="51">
        <v>2.8233333333333301</v>
      </c>
      <c r="D128" s="66" t="s">
        <v>62</v>
      </c>
      <c r="E128" s="74">
        <f>SUMIF(Variables!$B$4:$B$15,Formato!D128,Variables!$C$4:$C$15)</f>
        <v>1.42</v>
      </c>
      <c r="F128" s="67">
        <v>11</v>
      </c>
      <c r="G128" s="67" t="s">
        <v>122</v>
      </c>
      <c r="H128" s="50">
        <v>2018</v>
      </c>
      <c r="I128" s="84">
        <f>(C128-E128)*((Factores!$F$12*Factores!$L$4)+Factores!$N$4*Factores!$L$20+Factores!$P$4*Factores!$L$21)*Factores!$J$4*F128*Variables!$C$18</f>
        <v>28.129731343999932</v>
      </c>
      <c r="K128" s="77">
        <f>Factores!$J$4*C128*F128*(Factores!$F$12*Factores!$L$4+Factores!$N$4*Factores!$L$20+Factores!$P$4*Factores!$L$21)*Variables!$C$18</f>
        <v>56.593545007999936</v>
      </c>
      <c r="L128" s="77">
        <f>Factores!$J$4*E128*F128*(Factores!$F$12*Factores!$L$4+Factores!$N$4*Factores!$L$20+Factores!$P$4*Factores!$L$21)*Variables!$C$18</f>
        <v>28.463813663999993</v>
      </c>
      <c r="M128" s="77">
        <f t="shared" si="68"/>
        <v>28.129731343999943</v>
      </c>
      <c r="N128" s="77">
        <f t="shared" si="66"/>
        <v>0</v>
      </c>
    </row>
    <row r="129" spans="2:14" x14ac:dyDescent="0.3">
      <c r="B129" s="50" t="s">
        <v>64</v>
      </c>
      <c r="C129" s="51">
        <v>2.8233333333333301</v>
      </c>
      <c r="D129" s="66" t="s">
        <v>168</v>
      </c>
      <c r="E129" s="74">
        <f>SUMIF(Variables!$B$4:$B$15,Formato!D129,Variables!$C$4:$C$15)</f>
        <v>0.84</v>
      </c>
      <c r="F129" s="67">
        <v>2802</v>
      </c>
      <c r="G129" s="67" t="s">
        <v>120</v>
      </c>
      <c r="H129" s="50">
        <v>2018</v>
      </c>
      <c r="I129" s="84">
        <f>(C129-E129)*((Factores!$D$12*Factores!$L$4)+Factores!$N$4*Factores!$L$20+Factores!$P$4*Factores!$L$21)*Factores!$J$4*F129*Variables!$C$18</f>
        <v>18613.176035999972</v>
      </c>
      <c r="K129" s="77">
        <f>Factores!$J$4*C129*F129*(Factores!$D$12*Factores!$L$4+Factores!$N$4*Factores!$L$20+Factores!$P$4*Factores!$L$21)*Variables!$C$18</f>
        <v>26496.403533599969</v>
      </c>
      <c r="L129" s="77">
        <f>Factores!$J$4*E129*F129*(Factores!$D$12*Factores!$L$4+Factores!$N$4*Factores!$L$20+Factores!$P$4*Factores!$L$21)*Variables!$C$18</f>
        <v>7883.227497599999</v>
      </c>
      <c r="M129" s="77">
        <f t="shared" ref="M129" si="69">K129-L129</f>
        <v>18613.176035999968</v>
      </c>
      <c r="N129" s="77">
        <f t="shared" si="66"/>
        <v>0</v>
      </c>
    </row>
    <row r="130" spans="2:14" x14ac:dyDescent="0.3">
      <c r="B130" s="50" t="s">
        <v>64</v>
      </c>
      <c r="C130" s="51">
        <v>2.8233333333333301</v>
      </c>
      <c r="D130" s="66" t="s">
        <v>168</v>
      </c>
      <c r="E130" s="74">
        <f>SUMIF(Variables!$B$4:$B$15,Formato!D130,Variables!$C$4:$C$15)</f>
        <v>0.84</v>
      </c>
      <c r="F130" s="67">
        <v>31388</v>
      </c>
      <c r="G130" s="67" t="s">
        <v>121</v>
      </c>
      <c r="H130" s="50">
        <v>2018</v>
      </c>
      <c r="I130" s="84">
        <f>(C130-E130)*((Factores!$E$12*Factores!$L$4)+Factores!$N$4*Factores!$L$20+Factores!$P$4*Factores!$L$21)*Factores!$J$4*F130*Variables!$C$18</f>
        <v>158906.46824415974</v>
      </c>
      <c r="K130" s="77">
        <f>Factores!$J$4*C130*F130*(Factores!$E$12*Factores!$L$4+Factores!$N$4*Factores!$L$20+Factores!$P$4*Factores!$L$21)*Variables!$C$18</f>
        <v>226208.03126521574</v>
      </c>
      <c r="L130" s="77">
        <f>Factores!$J$4*E130*F130*(Factores!$E$12*Factores!$L$4+Factores!$N$4*Factores!$L$20+Factores!$P$4*Factores!$L$21)*Variables!$C$18</f>
        <v>67301.56302105599</v>
      </c>
      <c r="M130" s="77">
        <f t="shared" ref="M130" si="70">K130-L130</f>
        <v>158906.46824415977</v>
      </c>
      <c r="N130" s="77">
        <f t="shared" si="66"/>
        <v>0</v>
      </c>
    </row>
    <row r="131" spans="2:14" x14ac:dyDescent="0.3">
      <c r="B131" s="50" t="s">
        <v>64</v>
      </c>
      <c r="C131" s="51">
        <v>2.8233333333333301</v>
      </c>
      <c r="D131" s="66" t="s">
        <v>168</v>
      </c>
      <c r="E131" s="74">
        <f>SUMIF(Variables!$B$4:$B$15,Formato!D131,Variables!$C$4:$C$15)</f>
        <v>0.84</v>
      </c>
      <c r="F131" s="67">
        <v>10521</v>
      </c>
      <c r="G131" s="67" t="s">
        <v>122</v>
      </c>
      <c r="H131" s="50">
        <v>2018</v>
      </c>
      <c r="I131" s="84">
        <f>(C131-E131)*((Factores!$F$12*Factores!$L$4)+Factores!$N$4*Factores!$L$20+Factores!$P$4*Factores!$L$21)*Factores!$J$4*F131*Variables!$C$18</f>
        <v>38024.61186887994</v>
      </c>
      <c r="K131" s="77">
        <f>Factores!$J$4*C131*F131*(Factores!$F$12*Factores!$L$4+Factores!$N$4*Factores!$L$20+Factores!$P$4*Factores!$L$21)*Variables!$C$18</f>
        <v>54129.153366287937</v>
      </c>
      <c r="L131" s="77">
        <f>Factores!$J$4*E131*F131*(Factores!$F$12*Factores!$L$4+Factores!$N$4*Factores!$L$20+Factores!$P$4*Factores!$L$21)*Variables!$C$18</f>
        <v>16104.541497407996</v>
      </c>
      <c r="M131" s="77">
        <f t="shared" si="65"/>
        <v>38024.61186887994</v>
      </c>
      <c r="N131" s="77">
        <f t="shared" si="66"/>
        <v>0</v>
      </c>
    </row>
    <row r="132" spans="2:14" x14ac:dyDescent="0.3">
      <c r="B132" s="50" t="s">
        <v>64</v>
      </c>
      <c r="C132" s="51">
        <v>2.8233333333333301</v>
      </c>
      <c r="D132" s="66" t="s">
        <v>170</v>
      </c>
      <c r="E132" s="74">
        <f>SUMIF(Variables!$B$4:$B$15,Formato!D132,Variables!$C$4:$C$15)</f>
        <v>1.8</v>
      </c>
      <c r="F132" s="67">
        <v>11205</v>
      </c>
      <c r="G132" s="67" t="s">
        <v>120</v>
      </c>
      <c r="H132" s="50">
        <v>2018</v>
      </c>
      <c r="I132" s="84">
        <f>(C132-E132)*((Factores!$D$12*Factores!$L$4)+Factores!$N$4*Factores!$L$20+Factores!$P$4*Factores!$L$21)*Factores!$J$4*F132*Variables!$C$18</f>
        <v>38404.810313999878</v>
      </c>
      <c r="K132" s="77">
        <f>Factores!$J$4*C132*F132*(Factores!$D$12*Factores!$L$4+Factores!$N$4*Factores!$L$20+Factores!$P$4*Factores!$L$21)*Variables!$C$18</f>
        <v>105957.24539399988</v>
      </c>
      <c r="L132" s="77">
        <f>Factores!$J$4*E132*F132*(Factores!$D$12*Factores!$L$4+Factores!$N$4*Factores!$L$20+Factores!$P$4*Factores!$L$21)*Variables!$C$18</f>
        <v>67552.435079999981</v>
      </c>
      <c r="M132" s="77">
        <f t="shared" ref="M132" si="71">K132-L132</f>
        <v>38404.8103139999</v>
      </c>
      <c r="N132" s="77">
        <f t="shared" si="66"/>
        <v>0</v>
      </c>
    </row>
    <row r="133" spans="2:14" x14ac:dyDescent="0.3">
      <c r="B133" s="50" t="s">
        <v>64</v>
      </c>
      <c r="C133" s="51">
        <v>2.8233333333333301</v>
      </c>
      <c r="D133" s="66" t="s">
        <v>170</v>
      </c>
      <c r="E133" s="74">
        <f>SUMIF(Variables!$B$4:$B$15,Formato!D133,Variables!$C$4:$C$15)</f>
        <v>1.8</v>
      </c>
      <c r="F133" s="67">
        <v>1274</v>
      </c>
      <c r="G133" s="67" t="s">
        <v>121</v>
      </c>
      <c r="H133" s="50">
        <v>2018</v>
      </c>
      <c r="I133" s="84">
        <f>(C133-E133)*((Factores!$E$12*Factores!$L$4)+Factores!$N$4*Factores!$L$20+Factores!$P$4*Factores!$L$21)*Factores!$J$4*F133*Variables!$C$18</f>
        <v>3327.8885174079896</v>
      </c>
      <c r="K133" s="77">
        <f>Factores!$J$4*C133*F133*(Factores!$E$12*Factores!$L$4+Factores!$N$4*Factores!$L$20+Factores!$P$4*Factores!$L$21)*Variables!$C$18</f>
        <v>9181.5034991679895</v>
      </c>
      <c r="L133" s="77">
        <f>Factores!$J$4*E133*F133*(Factores!$E$12*Factores!$L$4+Factores!$N$4*Factores!$L$20+Factores!$P$4*Factores!$L$21)*Variables!$C$18</f>
        <v>5853.6149817600008</v>
      </c>
      <c r="M133" s="77">
        <f t="shared" ref="M133:M134" si="72">K133-L133</f>
        <v>3327.8885174079887</v>
      </c>
      <c r="N133" s="77">
        <f t="shared" si="66"/>
        <v>0</v>
      </c>
    </row>
    <row r="134" spans="2:14" x14ac:dyDescent="0.3">
      <c r="B134" s="50" t="s">
        <v>64</v>
      </c>
      <c r="C134" s="51">
        <v>2.8233333333333301</v>
      </c>
      <c r="D134" s="66" t="s">
        <v>167</v>
      </c>
      <c r="E134" s="74">
        <f>SUMIF(Variables!$B$4:$B$15,Formato!D134,Variables!$C$4:$C$15)</f>
        <v>1.53</v>
      </c>
      <c r="F134" s="67">
        <v>703</v>
      </c>
      <c r="G134" s="67" t="s">
        <v>120</v>
      </c>
      <c r="H134" s="50">
        <v>2018</v>
      </c>
      <c r="I134" s="84">
        <f>(C134-E134)*((Factores!$D$12*Factores!$L$4)+Factores!$N$4*Factores!$L$20+Factores!$P$4*Factores!$L$21)*Factores!$J$4*F134*Variables!$C$18</f>
        <v>3045.2464015999926</v>
      </c>
      <c r="K134" s="77">
        <f>Factores!$J$4*C134*F134*(Factores!$D$12*Factores!$L$4+Factores!$N$4*Factores!$L$20+Factores!$P$4*Factores!$L$21)*Variables!$C$18</f>
        <v>6647.7415003999922</v>
      </c>
      <c r="L134" s="77">
        <f>Factores!$J$4*E134*F134*(Factores!$D$12*Factores!$L$4+Factores!$N$4*Factores!$L$20+Factores!$P$4*Factores!$L$21)*Variables!$C$18</f>
        <v>3602.4950988000001</v>
      </c>
      <c r="M134" s="77">
        <f t="shared" si="72"/>
        <v>3045.2464015999922</v>
      </c>
      <c r="N134" s="77">
        <f t="shared" si="66"/>
        <v>0</v>
      </c>
    </row>
    <row r="135" spans="2:14" x14ac:dyDescent="0.3">
      <c r="B135" s="50" t="s">
        <v>64</v>
      </c>
      <c r="C135" s="51">
        <v>2.8233333333333301</v>
      </c>
      <c r="D135" s="66" t="s">
        <v>167</v>
      </c>
      <c r="E135" s="74">
        <f>SUMIF(Variables!$B$4:$B$15,Formato!D135,Variables!$C$4:$C$15)</f>
        <v>1.53</v>
      </c>
      <c r="F135" s="67">
        <v>75624</v>
      </c>
      <c r="G135" s="67" t="s">
        <v>121</v>
      </c>
      <c r="H135" s="50">
        <v>2018</v>
      </c>
      <c r="I135" s="84">
        <f>(C135-E135)*((Factores!$E$12*Factores!$L$4)+Factores!$N$4*Factores!$L$20+Factores!$P$4*Factores!$L$21)*Factores!$J$4*F135*Variables!$C$18</f>
        <v>249661.9373214714</v>
      </c>
      <c r="K135" s="77">
        <f>Factores!$J$4*C135*F135*(Factores!$E$12*Factores!$L$4+Factores!$N$4*Factores!$L$20+Factores!$P$4*Factores!$L$21)*Variables!$C$18</f>
        <v>545009.43533836748</v>
      </c>
      <c r="L135" s="77">
        <f>Factores!$J$4*E135*F135*(Factores!$E$12*Factores!$L$4+Factores!$N$4*Factores!$L$20+Factores!$P$4*Factores!$L$21)*Variables!$C$18</f>
        <v>295347.49801689596</v>
      </c>
      <c r="M135" s="77">
        <f t="shared" ref="M135:M137" si="73">K135-L135</f>
        <v>249661.93732147152</v>
      </c>
      <c r="N135" s="77">
        <f t="shared" si="66"/>
        <v>0</v>
      </c>
    </row>
    <row r="136" spans="2:14" x14ac:dyDescent="0.3">
      <c r="B136" s="50" t="s">
        <v>64</v>
      </c>
      <c r="C136" s="51">
        <v>2.8233333333333301</v>
      </c>
      <c r="D136" s="66" t="s">
        <v>171</v>
      </c>
      <c r="E136" s="74">
        <f>SUMIF(Variables!$B$4:$B$15,Formato!D136,Variables!$C$4:$C$15)</f>
        <v>1.9</v>
      </c>
      <c r="F136" s="67">
        <v>5593</v>
      </c>
      <c r="G136" s="67" t="s">
        <v>120</v>
      </c>
      <c r="H136" s="50">
        <v>2018</v>
      </c>
      <c r="I136" s="84">
        <f>(C136-E136)*((Factores!$D$12*Factores!$L$4)+Factores!$N$4*Factores!$L$20+Factores!$P$4*Factores!$L$21)*Factores!$J$4*F136*Variables!$C$18</f>
        <v>17296.569508399942</v>
      </c>
      <c r="K136" s="77">
        <f>Factores!$J$4*C136*F136*(Factores!$D$12*Factores!$L$4+Factores!$N$4*Factores!$L$20+Factores!$P$4*Factores!$L$21)*Variables!$C$18</f>
        <v>52888.788352399941</v>
      </c>
      <c r="L136" s="77">
        <f>Factores!$J$4*E136*F136*(Factores!$D$12*Factores!$L$4+Factores!$N$4*Factores!$L$20+Factores!$P$4*Factores!$L$21)*Variables!$C$18</f>
        <v>35592.218843999995</v>
      </c>
      <c r="M136" s="77">
        <f t="shared" si="73"/>
        <v>17296.569508399945</v>
      </c>
      <c r="N136" s="77">
        <f t="shared" si="66"/>
        <v>0</v>
      </c>
    </row>
    <row r="137" spans="2:14" x14ac:dyDescent="0.3">
      <c r="B137" s="50" t="s">
        <v>64</v>
      </c>
      <c r="C137" s="51">
        <v>2.8233333333333301</v>
      </c>
      <c r="D137" s="66" t="s">
        <v>172</v>
      </c>
      <c r="E137" s="74">
        <f>SUMIF(Variables!$B$4:$B$15,Formato!D137,Variables!$C$4:$C$15)</f>
        <v>2</v>
      </c>
      <c r="F137" s="67">
        <v>2697</v>
      </c>
      <c r="G137" s="67" t="s">
        <v>120</v>
      </c>
      <c r="H137" s="50">
        <v>2018</v>
      </c>
      <c r="I137" s="84">
        <f>(C137-E137)*((Factores!$D$12*Factores!$L$4)+Factores!$N$4*Factores!$L$20+Factores!$P$4*Factores!$L$21)*Factores!$J$4*F137*Variables!$C$18</f>
        <v>7437.2655395999709</v>
      </c>
      <c r="K137" s="77">
        <f>Factores!$J$4*C137*F137*(Factores!$D$12*Factores!$L$4+Factores!$N$4*Factores!$L$20+Factores!$P$4*Factores!$L$21)*Variables!$C$18</f>
        <v>25503.49761959997</v>
      </c>
      <c r="L137" s="77">
        <f>Factores!$J$4*E137*F137*(Factores!$D$12*Factores!$L$4+Factores!$N$4*Factores!$L$20+Factores!$P$4*Factores!$L$21)*Variables!$C$18</f>
        <v>18066.232079999998</v>
      </c>
      <c r="M137" s="77">
        <f t="shared" si="73"/>
        <v>7437.2655395999718</v>
      </c>
      <c r="N137" s="77">
        <f t="shared" si="66"/>
        <v>0</v>
      </c>
    </row>
    <row r="138" spans="2:14" x14ac:dyDescent="0.3">
      <c r="B138" s="50" t="s">
        <v>64</v>
      </c>
      <c r="C138" s="51">
        <v>2.8233333333333301</v>
      </c>
      <c r="D138" s="66" t="s">
        <v>172</v>
      </c>
      <c r="E138" s="74">
        <f>SUMIF(Variables!$B$4:$B$15,Formato!D138,Variables!$C$4:$C$15)</f>
        <v>2</v>
      </c>
      <c r="F138" s="67">
        <v>526</v>
      </c>
      <c r="G138" s="67" t="s">
        <v>121</v>
      </c>
      <c r="H138" s="50">
        <v>2018</v>
      </c>
      <c r="I138" s="84">
        <f>(C138-E138)*((Factores!$E$12*Factores!$L$4)+Factores!$N$4*Factores!$L$20+Factores!$P$4*Factores!$L$21)*Factores!$J$4*F138*Variables!$C$18</f>
        <v>1105.4616048319958</v>
      </c>
      <c r="K138" s="77">
        <f>Factores!$J$4*C138*F138*(Factores!$E$12*Factores!$L$4+Factores!$N$4*Factores!$L$20+Factores!$P$4*Factores!$L$21)*Variables!$C$18</f>
        <v>3790.793438431996</v>
      </c>
      <c r="L138" s="77">
        <f>Factores!$J$4*E138*F138*(Factores!$E$12*Factores!$L$4+Factores!$N$4*Factores!$L$20+Factores!$P$4*Factores!$L$21)*Variables!$C$18</f>
        <v>2685.3318336000002</v>
      </c>
      <c r="M138" s="77">
        <f t="shared" ref="M138:M139" si="74">K138-L138</f>
        <v>1105.4616048319958</v>
      </c>
      <c r="N138" s="77">
        <f t="shared" si="66"/>
        <v>0</v>
      </c>
    </row>
    <row r="139" spans="2:14" x14ac:dyDescent="0.3">
      <c r="B139" s="50" t="s">
        <v>64</v>
      </c>
      <c r="C139" s="51">
        <v>2.8233333333333301</v>
      </c>
      <c r="D139" s="66" t="s">
        <v>184</v>
      </c>
      <c r="E139" s="74">
        <f>SUMIF(Variables!$B$4:$B$15,Formato!D139,Variables!$C$4:$C$15)</f>
        <v>1.7</v>
      </c>
      <c r="F139" s="67">
        <v>299</v>
      </c>
      <c r="G139" s="67" t="s">
        <v>122</v>
      </c>
      <c r="H139" s="50">
        <v>2018</v>
      </c>
      <c r="I139" s="84">
        <f>(C139-E139)*((Factores!$F$12*Factores!$L$4)+Factores!$N$4*Factores!$L$20+Factores!$P$4*Factores!$L$21)*Factores!$J$4*F139*Variables!$C$18</f>
        <v>612.05703291199814</v>
      </c>
      <c r="K139" s="77">
        <f>Factores!$J$4*C139*F139*(Factores!$F$12*Factores!$L$4+Factores!$N$4*Factores!$L$20+Factores!$P$4*Factores!$L$21)*Variables!$C$18</f>
        <v>1538.3154506719982</v>
      </c>
      <c r="L139" s="77">
        <f>Factores!$J$4*E139*F139*(Factores!$F$12*Factores!$L$4+Factores!$N$4*Factores!$L$20+Factores!$P$4*Factores!$L$21)*Variables!$C$18</f>
        <v>926.25841775999993</v>
      </c>
      <c r="M139" s="77">
        <f t="shared" si="74"/>
        <v>612.05703291199825</v>
      </c>
      <c r="N139" s="77">
        <f t="shared" si="66"/>
        <v>0</v>
      </c>
    </row>
    <row r="140" spans="2:14" x14ac:dyDescent="0.3">
      <c r="B140" s="50" t="s">
        <v>64</v>
      </c>
      <c r="C140" s="51">
        <v>2.8233333333333328</v>
      </c>
      <c r="D140" s="66" t="s">
        <v>169</v>
      </c>
      <c r="E140" s="74">
        <f>SUMIF(Variables!$B$4:$B$15,Formato!D140,Variables!$C$4:$C$15)</f>
        <v>1.1599999999999999</v>
      </c>
      <c r="F140" s="67">
        <v>86</v>
      </c>
      <c r="G140" s="67" t="s">
        <v>121</v>
      </c>
      <c r="H140" s="50">
        <v>2018</v>
      </c>
      <c r="I140" s="84">
        <f>(C140-E140)*((Factores!$E$12*Factores!$L$4)+Factores!$N$4*Factores!$L$20+Factores!$P$4*Factores!$L$21)*Factores!$J$4*F140*Variables!$C$18</f>
        <v>365.14046358399986</v>
      </c>
      <c r="K140" s="77">
        <f>Factores!$J$4*C140*F140*(Factores!$E$12*Factores!$L$4+Factores!$N$4*Factores!$L$20+Factores!$P$4*Factores!$L$21)*Variables!$C$18</f>
        <v>619.78752035199989</v>
      </c>
      <c r="L140" s="77">
        <f>Factores!$J$4*E140*F140*(Factores!$E$12*Factores!$L$4+Factores!$N$4*Factores!$L$20+Factores!$P$4*Factores!$L$21)*Variables!$C$18</f>
        <v>254.647056768</v>
      </c>
      <c r="M140" s="77">
        <f t="shared" ref="M140:M141" si="75">K140-L140</f>
        <v>365.14046358399992</v>
      </c>
      <c r="N140" s="77">
        <f t="shared" si="66"/>
        <v>0</v>
      </c>
    </row>
    <row r="141" spans="2:14" x14ac:dyDescent="0.3">
      <c r="B141" s="50" t="s">
        <v>64</v>
      </c>
      <c r="C141" s="51">
        <v>2.8233333333333328</v>
      </c>
      <c r="D141" s="66" t="s">
        <v>169</v>
      </c>
      <c r="E141" s="74">
        <f>SUMIF(Variables!$B$4:$B$15,Formato!D141,Variables!$C$4:$C$15)</f>
        <v>1.1599999999999999</v>
      </c>
      <c r="F141" s="67">
        <v>31310</v>
      </c>
      <c r="G141" s="67" t="s">
        <v>122</v>
      </c>
      <c r="H141" s="50">
        <v>2018</v>
      </c>
      <c r="I141" s="84">
        <f>(C141-E141)*((Factores!$F$12*Factores!$L$4)+Factores!$N$4*Factores!$L$20+Factores!$P$4*Factores!$L$21)*Factores!$J$4*F141*Variables!$C$18</f>
        <v>94901.792766559956</v>
      </c>
      <c r="K141" s="77">
        <f>Factores!$J$4*C141*F141*(Factores!$F$12*Factores!$L$4+Factores!$N$4*Factores!$L$20+Factores!$P$4*Factores!$L$21)*Variables!$C$18</f>
        <v>161085.80856367995</v>
      </c>
      <c r="L141" s="77">
        <f>Factores!$J$4*E141*F141*(Factores!$F$12*Factores!$L$4+Factores!$N$4*Factores!$L$20+Factores!$P$4*Factores!$L$21)*Variables!$C$18</f>
        <v>66184.015797119995</v>
      </c>
      <c r="M141" s="77">
        <f t="shared" si="75"/>
        <v>94901.792766559956</v>
      </c>
      <c r="N141" s="77">
        <f t="shared" si="66"/>
        <v>0</v>
      </c>
    </row>
    <row r="142" spans="2:14" x14ac:dyDescent="0.3">
      <c r="B142" s="116" t="s">
        <v>178</v>
      </c>
      <c r="C142" s="117"/>
      <c r="D142" s="117"/>
      <c r="E142" s="117"/>
      <c r="F142" s="117"/>
      <c r="G142" s="117"/>
      <c r="H142" s="117"/>
      <c r="I142" s="80">
        <f>SUM(I123:I141)</f>
        <v>1295881.7306061094</v>
      </c>
    </row>
    <row r="143" spans="2:14" x14ac:dyDescent="0.3">
      <c r="B143" s="50" t="s">
        <v>64</v>
      </c>
      <c r="C143" s="51">
        <v>2.8233333333333328</v>
      </c>
      <c r="D143" s="66" t="s">
        <v>182</v>
      </c>
      <c r="E143" s="74">
        <f>SUMIF(Variables!$B$4:$B$15,Formato!D143,Variables!$C$4:$C$15)</f>
        <v>1.85</v>
      </c>
      <c r="F143" s="67">
        <v>1146</v>
      </c>
      <c r="G143" s="67" t="s">
        <v>121</v>
      </c>
      <c r="H143" s="50">
        <v>2019</v>
      </c>
      <c r="I143" s="84">
        <f>(C143-E143)*((Factores!$E$13*Factores!$L$4)+Factores!$N$4*Factores!$L$20+Factores!$P$4*Factores!$L$21)*Factores!$J$4*F143*Variables!$C$18</f>
        <v>2847.268574591998</v>
      </c>
      <c r="K143" s="77">
        <f>Factores!$J$4*C143*F143*(Factores!$E$13*Factores!$L$4+Factores!$N$4*Factores!$L$20+Factores!$P$4*Factores!$L$21)*Variables!$C$18</f>
        <v>8259.0290502719981</v>
      </c>
      <c r="L143" s="77">
        <f>Factores!$J$4*E143*F143*(Factores!$E$13*Factores!$L$4+Factores!$N$4*Factores!$L$20+Factores!$P$4*Factores!$L$21)*Variables!$C$18</f>
        <v>5411.7604756800001</v>
      </c>
      <c r="M143" s="77">
        <f t="shared" ref="M143:M161" si="76">K143-L143</f>
        <v>2847.268574591998</v>
      </c>
      <c r="N143" s="77">
        <f t="shared" ref="N143:N161" si="77">I143-M143</f>
        <v>0</v>
      </c>
    </row>
    <row r="144" spans="2:14" x14ac:dyDescent="0.3">
      <c r="B144" s="50" t="s">
        <v>64</v>
      </c>
      <c r="C144" s="51">
        <v>2.8233333333333328</v>
      </c>
      <c r="D144" s="66" t="s">
        <v>183</v>
      </c>
      <c r="E144" s="74">
        <f>SUMIF(Variables!$B$4:$B$15,Formato!D144,Variables!$C$4:$C$15)</f>
        <v>1.92</v>
      </c>
      <c r="F144" s="67">
        <v>6</v>
      </c>
      <c r="G144" s="67" t="s">
        <v>121</v>
      </c>
      <c r="H144" s="50">
        <v>2019</v>
      </c>
      <c r="I144" s="84">
        <f>(C144-E144)*((Factores!$E$13*Factores!$L$4)+Factores!$N$4*Factores!$L$20+Factores!$P$4*Factores!$L$21)*Factores!$J$4*F144*Variables!$C$18</f>
        <v>13.835074655999991</v>
      </c>
      <c r="K144" s="77">
        <f>Factores!$J$4*C144*F144*(Factores!$E$13*Factores!$L$4+Factores!$N$4*Factores!$L$20+Factores!$P$4*Factores!$L$21)*Variables!$C$18</f>
        <v>43.240989791999986</v>
      </c>
      <c r="L144" s="77">
        <f>Factores!$J$4*E144*F144*(Factores!$E$13*Factores!$L$4+Factores!$N$4*Factores!$L$20+Factores!$P$4*Factores!$L$21)*Variables!$C$18</f>
        <v>29.405915135999997</v>
      </c>
      <c r="M144" s="77">
        <f t="shared" ref="M144:M146" si="78">K144-L144</f>
        <v>13.835074655999989</v>
      </c>
      <c r="N144" s="77">
        <f t="shared" si="77"/>
        <v>0</v>
      </c>
    </row>
    <row r="145" spans="2:14" x14ac:dyDescent="0.3">
      <c r="B145" s="50" t="s">
        <v>64</v>
      </c>
      <c r="C145" s="51">
        <v>2.8233333333333328</v>
      </c>
      <c r="D145" s="66" t="s">
        <v>63</v>
      </c>
      <c r="E145" s="74">
        <f>SUMIF(Variables!$B$4:$B$15,Formato!D145,Variables!$C$4:$C$15)</f>
        <v>1.53</v>
      </c>
      <c r="F145" s="67">
        <v>401</v>
      </c>
      <c r="G145" s="67" t="s">
        <v>121</v>
      </c>
      <c r="H145" s="50">
        <v>2019</v>
      </c>
      <c r="I145" s="84">
        <f>(C145-E145)*((Factores!$E$13*Factores!$L$4)+Factores!$N$4*Factores!$L$20+Factores!$P$4*Factores!$L$21)*Factores!$J$4*F145*Variables!$C$18</f>
        <v>1323.8447697279994</v>
      </c>
      <c r="K145" s="77">
        <f>Factores!$J$4*C145*F145*(Factores!$E$13*Factores!$L$4+Factores!$N$4*Factores!$L$20+Factores!$P$4*Factores!$L$21)*Variables!$C$18</f>
        <v>2889.9394844319995</v>
      </c>
      <c r="L145" s="77">
        <f>Factores!$J$4*E145*F145*(Factores!$E$13*Factores!$L$4+Factores!$N$4*Factores!$L$20+Factores!$P$4*Factores!$L$21)*Variables!$C$18</f>
        <v>1566.0947147040001</v>
      </c>
      <c r="M145" s="77">
        <f t="shared" si="78"/>
        <v>1323.8447697279994</v>
      </c>
      <c r="N145" s="77">
        <f t="shared" si="77"/>
        <v>0</v>
      </c>
    </row>
    <row r="146" spans="2:14" x14ac:dyDescent="0.3">
      <c r="B146" s="50" t="s">
        <v>64</v>
      </c>
      <c r="C146" s="51">
        <v>2.8233333333333301</v>
      </c>
      <c r="D146" s="66" t="s">
        <v>62</v>
      </c>
      <c r="E146" s="74">
        <f>SUMIF(Variables!$B$4:$B$15,Formato!D146,Variables!$C$4:$C$15)</f>
        <v>1.42</v>
      </c>
      <c r="F146" s="67">
        <v>24810</v>
      </c>
      <c r="G146" s="67" t="s">
        <v>120</v>
      </c>
      <c r="H146" s="50">
        <v>2019</v>
      </c>
      <c r="I146" s="84">
        <f>(C146-E146)*((Factores!$D$13*Factores!$L$4)+Factores!$N$4*Factores!$L$20+Factores!$P$4*Factores!$L$21)*Factores!$J$4*F146*Variables!$C$18</f>
        <v>116612.26964399974</v>
      </c>
      <c r="K146" s="77">
        <f>Factores!$J$4*C146*F146*(Factores!$D$13*Factores!$L$4+Factores!$N$4*Factores!$L$20+Factores!$P$4*Factores!$L$21)*Variables!$C$18</f>
        <v>234609.48310799972</v>
      </c>
      <c r="L146" s="77">
        <f>Factores!$J$4*E146*F146*(Factores!$D$13*Factores!$L$4+Factores!$N$4*Factores!$L$20+Factores!$P$4*Factores!$L$21)*Variables!$C$18</f>
        <v>117997.21346399999</v>
      </c>
      <c r="M146" s="77">
        <f t="shared" si="78"/>
        <v>116612.26964399974</v>
      </c>
      <c r="N146" s="77">
        <f t="shared" si="77"/>
        <v>0</v>
      </c>
    </row>
    <row r="147" spans="2:14" x14ac:dyDescent="0.3">
      <c r="B147" s="50" t="s">
        <v>64</v>
      </c>
      <c r="C147" s="51">
        <v>2.8233333333333301</v>
      </c>
      <c r="D147" s="66" t="s">
        <v>62</v>
      </c>
      <c r="E147" s="74">
        <f>SUMIF(Variables!$B$4:$B$15,Formato!D147,Variables!$C$4:$C$15)</f>
        <v>1.42</v>
      </c>
      <c r="F147" s="67">
        <v>151684</v>
      </c>
      <c r="G147" s="67" t="s">
        <v>121</v>
      </c>
      <c r="H147" s="50">
        <v>2019</v>
      </c>
      <c r="I147" s="84">
        <f>(C147-E147)*((Factores!$E$13*Factores!$L$4)+Factores!$N$4*Factores!$L$20+Factores!$P$4*Factores!$L$21)*Factores!$J$4*F147*Variables!$C$18</f>
        <v>543353.95719238278</v>
      </c>
      <c r="K147" s="77">
        <f>Factores!$J$4*C147*F147*(Factores!$E$13*Factores!$L$4+Factores!$N$4*Factores!$L$20+Factores!$P$4*Factores!$L$21)*Variables!$C$18</f>
        <v>1093161.0492682869</v>
      </c>
      <c r="L147" s="77">
        <f>Factores!$J$4*E147*F147*(Factores!$E$13*Factores!$L$4+Factores!$N$4*Factores!$L$20+Factores!$P$4*Factores!$L$21)*Variables!$C$18</f>
        <v>549807.0920759039</v>
      </c>
      <c r="M147" s="77">
        <f t="shared" ref="M147:M148" si="79">K147-L147</f>
        <v>543353.95719238301</v>
      </c>
      <c r="N147" s="77">
        <f t="shared" si="77"/>
        <v>0</v>
      </c>
    </row>
    <row r="148" spans="2:14" x14ac:dyDescent="0.3">
      <c r="B148" s="50" t="s">
        <v>64</v>
      </c>
      <c r="C148" s="51">
        <v>2.8233333333333301</v>
      </c>
      <c r="D148" s="66" t="s">
        <v>62</v>
      </c>
      <c r="E148" s="74">
        <f>SUMIF(Variables!$B$4:$B$15,Formato!D148,Variables!$C$4:$C$15)</f>
        <v>1.42</v>
      </c>
      <c r="F148" s="67">
        <v>11</v>
      </c>
      <c r="G148" s="67" t="s">
        <v>122</v>
      </c>
      <c r="H148" s="50">
        <v>2019</v>
      </c>
      <c r="I148" s="84">
        <f>(C148-E148)*((Factores!$F$13*Factores!$L$4)+Factores!$N$4*Factores!$L$20+Factores!$P$4*Factores!$L$21)*Factores!$J$4*F148*Variables!$C$18</f>
        <v>28.129731343999932</v>
      </c>
      <c r="K148" s="77">
        <f>Factores!$J$4*C148*F148*(Factores!$F$13*Factores!$L$4+Factores!$N$4*Factores!$L$20+Factores!$P$4*Factores!$L$21)*Variables!$C$18</f>
        <v>56.593545007999936</v>
      </c>
      <c r="L148" s="77">
        <f>Factores!$J$4*E148*F148*(Factores!$F$13*Factores!$L$4+Factores!$N$4*Factores!$L$20+Factores!$P$4*Factores!$L$21)*Variables!$C$18</f>
        <v>28.463813663999993</v>
      </c>
      <c r="M148" s="77">
        <f t="shared" si="79"/>
        <v>28.129731343999943</v>
      </c>
      <c r="N148" s="77">
        <f t="shared" si="77"/>
        <v>0</v>
      </c>
    </row>
    <row r="149" spans="2:14" x14ac:dyDescent="0.3">
      <c r="B149" s="50" t="s">
        <v>64</v>
      </c>
      <c r="C149" s="51">
        <v>2.8233333333333301</v>
      </c>
      <c r="D149" s="66" t="s">
        <v>168</v>
      </c>
      <c r="E149" s="74">
        <f>SUMIF(Variables!$B$4:$B$15,Formato!D149,Variables!$C$4:$C$15)</f>
        <v>0.84</v>
      </c>
      <c r="F149" s="67">
        <v>2802</v>
      </c>
      <c r="G149" s="67" t="s">
        <v>120</v>
      </c>
      <c r="H149" s="50">
        <v>2019</v>
      </c>
      <c r="I149" s="84">
        <f>(C149-E149)*((Factores!$D$13*Factores!$L$4)+Factores!$N$4*Factores!$L$20+Factores!$P$4*Factores!$L$21)*Factores!$J$4*F149*Variables!$C$18</f>
        <v>18613.176035999972</v>
      </c>
      <c r="K149" s="77">
        <f>Factores!$J$4*C149*F149*(Factores!$D$13*Factores!$L$4+Factores!$N$4*Factores!$L$20+Factores!$P$4*Factores!$L$21)*Variables!$C$18</f>
        <v>26496.403533599969</v>
      </c>
      <c r="L149" s="77">
        <f>Factores!$J$4*E149*F149*(Factores!$D$13*Factores!$L$4+Factores!$N$4*Factores!$L$20+Factores!$P$4*Factores!$L$21)*Variables!$C$18</f>
        <v>7883.227497599999</v>
      </c>
      <c r="M149" s="77">
        <f t="shared" si="76"/>
        <v>18613.176035999968</v>
      </c>
      <c r="N149" s="77">
        <f t="shared" si="77"/>
        <v>0</v>
      </c>
    </row>
    <row r="150" spans="2:14" x14ac:dyDescent="0.3">
      <c r="B150" s="50" t="s">
        <v>64</v>
      </c>
      <c r="C150" s="51">
        <v>2.8233333333333301</v>
      </c>
      <c r="D150" s="66" t="s">
        <v>168</v>
      </c>
      <c r="E150" s="74">
        <f>SUMIF(Variables!$B$4:$B$15,Formato!D150,Variables!$C$4:$C$15)</f>
        <v>0.84</v>
      </c>
      <c r="F150" s="67">
        <v>31388</v>
      </c>
      <c r="G150" s="67" t="s">
        <v>121</v>
      </c>
      <c r="H150" s="50">
        <v>2019</v>
      </c>
      <c r="I150" s="84">
        <f>(C150-E150)*((Factores!$E$13*Factores!$L$4)+Factores!$N$4*Factores!$L$20+Factores!$P$4*Factores!$L$21)*Factores!$J$4*F150*Variables!$C$18</f>
        <v>158906.46824415974</v>
      </c>
      <c r="K150" s="77">
        <f>Factores!$J$4*C150*F150*(Factores!$E$13*Factores!$L$4+Factores!$N$4*Factores!$L$20+Factores!$P$4*Factores!$L$21)*Variables!$C$18</f>
        <v>226208.03126521574</v>
      </c>
      <c r="L150" s="77">
        <f>Factores!$J$4*E150*F150*(Factores!$E$13*Factores!$L$4+Factores!$N$4*Factores!$L$20+Factores!$P$4*Factores!$L$21)*Variables!$C$18</f>
        <v>67301.56302105599</v>
      </c>
      <c r="M150" s="77">
        <f t="shared" ref="M150:M151" si="80">K150-L150</f>
        <v>158906.46824415977</v>
      </c>
      <c r="N150" s="77">
        <f t="shared" si="77"/>
        <v>0</v>
      </c>
    </row>
    <row r="151" spans="2:14" x14ac:dyDescent="0.3">
      <c r="B151" s="50" t="s">
        <v>64</v>
      </c>
      <c r="C151" s="51">
        <v>2.8233333333333301</v>
      </c>
      <c r="D151" s="66" t="s">
        <v>168</v>
      </c>
      <c r="E151" s="74">
        <f>SUMIF(Variables!$B$4:$B$15,Formato!D151,Variables!$C$4:$C$15)</f>
        <v>0.84</v>
      </c>
      <c r="F151" s="67">
        <v>10521</v>
      </c>
      <c r="G151" s="67" t="s">
        <v>122</v>
      </c>
      <c r="H151" s="50">
        <v>2019</v>
      </c>
      <c r="I151" s="84">
        <f>(C151-E151)*((Factores!$F$13*Factores!$L$4)+Factores!$N$4*Factores!$L$20+Factores!$P$4*Factores!$L$21)*Factores!$J$4*F151*Variables!$C$18</f>
        <v>38024.61186887994</v>
      </c>
      <c r="K151" s="77">
        <f>Factores!$J$4*C151*F151*(Factores!$F$13*Factores!$L$4+Factores!$N$4*Factores!$L$20+Factores!$P$4*Factores!$L$21)*Variables!$C$18</f>
        <v>54129.153366287937</v>
      </c>
      <c r="L151" s="77">
        <f>Factores!$J$4*E151*F151*(Factores!$F$13*Factores!$L$4+Factores!$N$4*Factores!$L$20+Factores!$P$4*Factores!$L$21)*Variables!$C$18</f>
        <v>16104.541497407996</v>
      </c>
      <c r="M151" s="77">
        <f t="shared" si="80"/>
        <v>38024.61186887994</v>
      </c>
      <c r="N151" s="77">
        <f t="shared" si="77"/>
        <v>0</v>
      </c>
    </row>
    <row r="152" spans="2:14" x14ac:dyDescent="0.3">
      <c r="B152" s="50" t="s">
        <v>64</v>
      </c>
      <c r="C152" s="51">
        <v>2.8233333333333328</v>
      </c>
      <c r="D152" s="66" t="s">
        <v>170</v>
      </c>
      <c r="E152" s="74">
        <f>SUMIF(Variables!$B$4:$B$15,Formato!D152,Variables!$C$4:$C$15)</f>
        <v>1.8</v>
      </c>
      <c r="F152" s="67">
        <v>11205</v>
      </c>
      <c r="G152" s="67" t="s">
        <v>120</v>
      </c>
      <c r="H152" s="50">
        <v>2019</v>
      </c>
      <c r="I152" s="84">
        <f>(C152-E152)*((Factores!$D$13*Factores!$L$4)+Factores!$N$4*Factores!$L$20+Factores!$P$4*Factores!$L$21)*Factores!$J$4*F152*Variables!$C$18</f>
        <v>38404.810313999973</v>
      </c>
      <c r="K152" s="77">
        <f>Factores!$J$4*C152*F152*(Factores!$D$13*Factores!$L$4+Factores!$N$4*Factores!$L$20+Factores!$P$4*Factores!$L$21)*Variables!$C$18</f>
        <v>105957.24539399998</v>
      </c>
      <c r="L152" s="77">
        <f>Factores!$J$4*E152*F152*(Factores!$D$13*Factores!$L$4+Factores!$N$4*Factores!$L$20+Factores!$P$4*Factores!$L$21)*Variables!$C$18</f>
        <v>67552.435079999981</v>
      </c>
      <c r="M152" s="77">
        <f t="shared" si="76"/>
        <v>38404.810314000002</v>
      </c>
      <c r="N152" s="77">
        <f t="shared" si="77"/>
        <v>0</v>
      </c>
    </row>
    <row r="153" spans="2:14" x14ac:dyDescent="0.3">
      <c r="B153" s="50" t="s">
        <v>64</v>
      </c>
      <c r="C153" s="51">
        <v>2.8233333333333328</v>
      </c>
      <c r="D153" s="66" t="s">
        <v>170</v>
      </c>
      <c r="E153" s="74">
        <f>SUMIF(Variables!$B$4:$B$15,Formato!D153,Variables!$C$4:$C$15)</f>
        <v>1.8</v>
      </c>
      <c r="F153" s="67">
        <v>1274</v>
      </c>
      <c r="G153" s="67" t="s">
        <v>121</v>
      </c>
      <c r="H153" s="50">
        <v>2019</v>
      </c>
      <c r="I153" s="84">
        <f>(C153-E153)*((Factores!$E$13*Factores!$L$4)+Factores!$N$4*Factores!$L$20+Factores!$P$4*Factores!$L$21)*Factores!$J$4*F153*Variables!$C$18</f>
        <v>3327.8885174079983</v>
      </c>
      <c r="K153" s="77">
        <f>Factores!$J$4*C153*F153*(Factores!$E$13*Factores!$L$4+Factores!$N$4*Factores!$L$20+Factores!$P$4*Factores!$L$21)*Variables!$C$18</f>
        <v>9181.5034991679986</v>
      </c>
      <c r="L153" s="77">
        <f>Factores!$J$4*E153*F153*(Factores!$E$13*Factores!$L$4+Factores!$N$4*Factores!$L$20+Factores!$P$4*Factores!$L$21)*Variables!$C$18</f>
        <v>5853.6149817600008</v>
      </c>
      <c r="M153" s="77">
        <f t="shared" ref="M153:M154" si="81">K153-L153</f>
        <v>3327.8885174079978</v>
      </c>
      <c r="N153" s="77">
        <f t="shared" si="77"/>
        <v>0</v>
      </c>
    </row>
    <row r="154" spans="2:14" x14ac:dyDescent="0.3">
      <c r="B154" s="50" t="s">
        <v>64</v>
      </c>
      <c r="C154" s="51">
        <v>2.8233333333333328</v>
      </c>
      <c r="D154" s="66" t="s">
        <v>167</v>
      </c>
      <c r="E154" s="74">
        <f>SUMIF(Variables!$B$4:$B$15,Formato!D154,Variables!$C$4:$C$15)</f>
        <v>1.53</v>
      </c>
      <c r="F154" s="67">
        <v>703</v>
      </c>
      <c r="G154" s="67" t="s">
        <v>120</v>
      </c>
      <c r="H154" s="50">
        <v>2019</v>
      </c>
      <c r="I154" s="84">
        <f>(C154-E154)*((Factores!$D$13*Factores!$L$4)+Factores!$N$4*Factores!$L$20+Factores!$P$4*Factores!$L$21)*Factores!$J$4*F154*Variables!$C$18</f>
        <v>3045.2464015999981</v>
      </c>
      <c r="K154" s="77">
        <f>Factores!$J$4*C154*F154*(Factores!$D$13*Factores!$L$4+Factores!$N$4*Factores!$L$20+Factores!$P$4*Factores!$L$21)*Variables!$C$18</f>
        <v>6647.7415003999986</v>
      </c>
      <c r="L154" s="77">
        <f>Factores!$J$4*E154*F154*(Factores!$D$13*Factores!$L$4+Factores!$N$4*Factores!$L$20+Factores!$P$4*Factores!$L$21)*Variables!$C$18</f>
        <v>3602.4950988000001</v>
      </c>
      <c r="M154" s="77">
        <f t="shared" si="81"/>
        <v>3045.2464015999985</v>
      </c>
      <c r="N154" s="77">
        <f t="shared" si="77"/>
        <v>0</v>
      </c>
    </row>
    <row r="155" spans="2:14" x14ac:dyDescent="0.3">
      <c r="B155" s="50" t="s">
        <v>64</v>
      </c>
      <c r="C155" s="51">
        <v>2.8233333333333301</v>
      </c>
      <c r="D155" s="66" t="s">
        <v>167</v>
      </c>
      <c r="E155" s="74">
        <f>SUMIF(Variables!$B$4:$B$15,Formato!D155,Variables!$C$4:$C$15)</f>
        <v>1.53</v>
      </c>
      <c r="F155" s="67">
        <v>75624</v>
      </c>
      <c r="G155" s="67" t="s">
        <v>121</v>
      </c>
      <c r="H155" s="50">
        <v>2019</v>
      </c>
      <c r="I155" s="84">
        <f>(C155-E155)*((Factores!$E$13*Factores!$L$4)+Factores!$N$4*Factores!$L$20+Factores!$P$4*Factores!$L$21)*Factores!$J$4*F155*Variables!$C$18</f>
        <v>249661.9373214714</v>
      </c>
      <c r="K155" s="77">
        <f>Factores!$J$4*C155*F155*(Factores!$E$13*Factores!$L$4+Factores!$N$4*Factores!$L$20+Factores!$P$4*Factores!$L$21)*Variables!$C$18</f>
        <v>545009.43533836748</v>
      </c>
      <c r="L155" s="77">
        <f>Factores!$J$4*E155*F155*(Factores!$E$13*Factores!$L$4+Factores!$N$4*Factores!$L$20+Factores!$P$4*Factores!$L$21)*Variables!$C$18</f>
        <v>295347.49801689596</v>
      </c>
      <c r="M155" s="77">
        <f t="shared" ref="M155:M157" si="82">K155-L155</f>
        <v>249661.93732147152</v>
      </c>
      <c r="N155" s="77">
        <f t="shared" si="77"/>
        <v>0</v>
      </c>
    </row>
    <row r="156" spans="2:14" x14ac:dyDescent="0.3">
      <c r="B156" s="50" t="s">
        <v>64</v>
      </c>
      <c r="C156" s="51">
        <v>2.8233333333333301</v>
      </c>
      <c r="D156" s="66" t="s">
        <v>171</v>
      </c>
      <c r="E156" s="74">
        <f>SUMIF(Variables!$B$4:$B$15,Formato!D156,Variables!$C$4:$C$15)</f>
        <v>1.9</v>
      </c>
      <c r="F156" s="67">
        <v>5593</v>
      </c>
      <c r="G156" s="67" t="s">
        <v>120</v>
      </c>
      <c r="H156" s="50">
        <v>2019</v>
      </c>
      <c r="I156" s="84">
        <f>(C156-E156)*((Factores!$D$13*Factores!$L$4)+Factores!$N$4*Factores!$L$20+Factores!$P$4*Factores!$L$21)*Factores!$J$4*F156*Variables!$C$18</f>
        <v>17296.569508399942</v>
      </c>
      <c r="K156" s="77">
        <f>Factores!$J$4*C156*F156*(Factores!$D$13*Factores!$L$4+Factores!$N$4*Factores!$L$20+Factores!$P$4*Factores!$L$21)*Variables!$C$18</f>
        <v>52888.788352399941</v>
      </c>
      <c r="L156" s="77">
        <f>Factores!$J$4*E156*F156*(Factores!$D$13*Factores!$L$4+Factores!$N$4*Factores!$L$20+Factores!$P$4*Factores!$L$21)*Variables!$C$18</f>
        <v>35592.218843999995</v>
      </c>
      <c r="M156" s="77">
        <f t="shared" si="82"/>
        <v>17296.569508399945</v>
      </c>
      <c r="N156" s="77">
        <f t="shared" si="77"/>
        <v>0</v>
      </c>
    </row>
    <row r="157" spans="2:14" x14ac:dyDescent="0.3">
      <c r="B157" s="50" t="s">
        <v>64</v>
      </c>
      <c r="C157" s="51">
        <v>2.8233333333333301</v>
      </c>
      <c r="D157" s="66" t="s">
        <v>172</v>
      </c>
      <c r="E157" s="74">
        <f>SUMIF(Variables!$B$4:$B$15,Formato!D157,Variables!$C$4:$C$15)</f>
        <v>2</v>
      </c>
      <c r="F157" s="67">
        <v>2697</v>
      </c>
      <c r="G157" s="67" t="s">
        <v>120</v>
      </c>
      <c r="H157" s="50">
        <v>2019</v>
      </c>
      <c r="I157" s="84">
        <f>(C157-E157)*((Factores!$D$13*Factores!$L$4)+Factores!$N$4*Factores!$L$20+Factores!$P$4*Factores!$L$21)*Factores!$J$4*F157*Variables!$C$18</f>
        <v>7437.2655395999709</v>
      </c>
      <c r="K157" s="77">
        <f>Factores!$J$4*C157*F157*(Factores!$D$13*Factores!$L$4+Factores!$N$4*Factores!$L$20+Factores!$P$4*Factores!$L$21)*Variables!$C$18</f>
        <v>25503.49761959997</v>
      </c>
      <c r="L157" s="77">
        <f>Factores!$J$4*E157*F157*(Factores!$D$13*Factores!$L$4+Factores!$N$4*Factores!$L$20+Factores!$P$4*Factores!$L$21)*Variables!$C$18</f>
        <v>18066.232079999998</v>
      </c>
      <c r="M157" s="77">
        <f t="shared" si="82"/>
        <v>7437.2655395999718</v>
      </c>
      <c r="N157" s="77">
        <f t="shared" si="77"/>
        <v>0</v>
      </c>
    </row>
    <row r="158" spans="2:14" x14ac:dyDescent="0.3">
      <c r="B158" s="50" t="s">
        <v>64</v>
      </c>
      <c r="C158" s="51">
        <v>2.8233333333333301</v>
      </c>
      <c r="D158" s="66" t="s">
        <v>172</v>
      </c>
      <c r="E158" s="74">
        <f>SUMIF(Variables!$B$4:$B$15,Formato!D158,Variables!$C$4:$C$15)</f>
        <v>2</v>
      </c>
      <c r="F158" s="67">
        <v>526</v>
      </c>
      <c r="G158" s="67" t="s">
        <v>121</v>
      </c>
      <c r="H158" s="50">
        <v>2019</v>
      </c>
      <c r="I158" s="84">
        <f>(C158-E158)*((Factores!$E$13*Factores!$L$4)+Factores!$N$4*Factores!$L$20+Factores!$P$4*Factores!$L$21)*Factores!$J$4*F158*Variables!$C$18</f>
        <v>1105.4616048319958</v>
      </c>
      <c r="K158" s="77">
        <f>Factores!$J$4*C158*F158*(Factores!$E$13*Factores!$L$4+Factores!$N$4*Factores!$L$20+Factores!$P$4*Factores!$L$21)*Variables!$C$18</f>
        <v>3790.793438431996</v>
      </c>
      <c r="L158" s="77">
        <f>Factores!$J$4*E158*F158*(Factores!$E$13*Factores!$L$4+Factores!$N$4*Factores!$L$20+Factores!$P$4*Factores!$L$21)*Variables!$C$18</f>
        <v>2685.3318336000002</v>
      </c>
      <c r="M158" s="77">
        <f t="shared" ref="M158:M159" si="83">K158-L158</f>
        <v>1105.4616048319958</v>
      </c>
      <c r="N158" s="77">
        <f t="shared" si="77"/>
        <v>0</v>
      </c>
    </row>
    <row r="159" spans="2:14" x14ac:dyDescent="0.3">
      <c r="B159" s="50" t="s">
        <v>64</v>
      </c>
      <c r="C159" s="51">
        <v>2.8233333333333301</v>
      </c>
      <c r="D159" s="66" t="s">
        <v>184</v>
      </c>
      <c r="E159" s="74">
        <f>SUMIF(Variables!$B$4:$B$15,Formato!D159,Variables!$C$4:$C$15)</f>
        <v>1.7</v>
      </c>
      <c r="F159" s="67">
        <v>299</v>
      </c>
      <c r="G159" s="67" t="s">
        <v>122</v>
      </c>
      <c r="H159" s="50">
        <v>2019</v>
      </c>
      <c r="I159" s="84">
        <f>(C159-E159)*((Factores!$F$13*Factores!$L$4)+Factores!$N$4*Factores!$L$20+Factores!$P$4*Factores!$L$21)*Factores!$J$4*F159*Variables!$C$18</f>
        <v>612.05703291199814</v>
      </c>
      <c r="K159" s="77">
        <f>Factores!$J$4*C159*F159*(Factores!$F$13*Factores!$L$4+Factores!$N$4*Factores!$L$20+Factores!$P$4*Factores!$L$21)*Variables!$C$18</f>
        <v>1538.3154506719982</v>
      </c>
      <c r="L159" s="77">
        <f>Factores!$J$4*E159*F159*(Factores!$F$13*Factores!$L$4+Factores!$N$4*Factores!$L$20+Factores!$P$4*Factores!$L$21)*Variables!$C$18</f>
        <v>926.25841775999993</v>
      </c>
      <c r="M159" s="77">
        <f t="shared" si="83"/>
        <v>612.05703291199825</v>
      </c>
      <c r="N159" s="77">
        <f t="shared" si="77"/>
        <v>0</v>
      </c>
    </row>
    <row r="160" spans="2:14" x14ac:dyDescent="0.3">
      <c r="B160" s="50" t="s">
        <v>64</v>
      </c>
      <c r="C160" s="51">
        <v>2.8233333333333301</v>
      </c>
      <c r="D160" s="66" t="s">
        <v>169</v>
      </c>
      <c r="E160" s="74">
        <f>SUMIF(Variables!$B$4:$B$15,Formato!D160,Variables!$C$4:$C$15)</f>
        <v>1.1599999999999999</v>
      </c>
      <c r="F160" s="67">
        <v>86</v>
      </c>
      <c r="G160" s="67" t="s">
        <v>121</v>
      </c>
      <c r="H160" s="50">
        <v>2019</v>
      </c>
      <c r="I160" s="84">
        <f>(C160-E160)*((Factores!$E$11*Factores!$L$4)+Factores!$N$4*Factores!$L$20+Factores!$P$4*Factores!$L$21)*Factores!$J$4*F160*Variables!$C$18</f>
        <v>365.14046358399929</v>
      </c>
      <c r="K160" s="77">
        <f>Factores!$J$4*C160*F160*(Factores!$E$11*Factores!$L$4+Factores!$N$4*Factores!$L$20+Factores!$P$4*Factores!$L$21)*Variables!$C$18</f>
        <v>619.78752035199932</v>
      </c>
      <c r="L160" s="77">
        <f>Factores!$J$4*E160*F160*(Factores!$E$11*Factores!$L$4+Factores!$N$4*Factores!$L$20+Factores!$P$4*Factores!$L$21)*Variables!$C$18</f>
        <v>254.647056768</v>
      </c>
      <c r="M160" s="77">
        <f t="shared" si="76"/>
        <v>365.14046358399935</v>
      </c>
      <c r="N160" s="77">
        <f t="shared" si="77"/>
        <v>0</v>
      </c>
    </row>
    <row r="161" spans="2:14" x14ac:dyDescent="0.3">
      <c r="B161" s="50" t="s">
        <v>64</v>
      </c>
      <c r="C161" s="51">
        <v>2.8233333333333301</v>
      </c>
      <c r="D161" s="66" t="s">
        <v>169</v>
      </c>
      <c r="E161" s="74">
        <f>SUMIF(Variables!$B$4:$B$15,Formato!D161,Variables!$C$4:$C$15)</f>
        <v>1.1599999999999999</v>
      </c>
      <c r="F161" s="67">
        <v>31310</v>
      </c>
      <c r="G161" s="67" t="s">
        <v>122</v>
      </c>
      <c r="H161" s="50">
        <v>2019</v>
      </c>
      <c r="I161" s="84">
        <f>(C161-E161)*((Factores!$F$13*Factores!$L$4)+Factores!$N$4*Factores!$L$20+Factores!$P$4*Factores!$L$21)*Factores!$J$4*F161*Variables!$C$18</f>
        <v>94901.792766559811</v>
      </c>
      <c r="K161" s="77">
        <f>Factores!$J$4*C161*F161*(Factores!$F$13*Factores!$L$4+Factores!$N$4*Factores!$L$20+Factores!$P$4*Factores!$L$21)*Variables!$C$18</f>
        <v>161085.80856367981</v>
      </c>
      <c r="L161" s="77">
        <f>Factores!$J$4*E161*F161*(Factores!$F$13*Factores!$L$4+Factores!$N$4*Factores!$L$20+Factores!$P$4*Factores!$L$21)*Variables!$C$18</f>
        <v>66184.015797119995</v>
      </c>
      <c r="M161" s="77">
        <f t="shared" si="76"/>
        <v>94901.792766559811</v>
      </c>
      <c r="N161" s="77">
        <f t="shared" si="77"/>
        <v>0</v>
      </c>
    </row>
    <row r="162" spans="2:14" x14ac:dyDescent="0.3">
      <c r="B162" s="116" t="s">
        <v>178</v>
      </c>
      <c r="C162" s="117"/>
      <c r="D162" s="117"/>
      <c r="E162" s="117"/>
      <c r="F162" s="117"/>
      <c r="G162" s="117"/>
      <c r="H162" s="117"/>
      <c r="I162" s="80">
        <f>SUM(I143:I161)</f>
        <v>1295881.7306061096</v>
      </c>
    </row>
    <row r="163" spans="2:14" x14ac:dyDescent="0.3">
      <c r="B163" s="50" t="s">
        <v>64</v>
      </c>
      <c r="C163" s="51">
        <v>2.8233333333333328</v>
      </c>
      <c r="D163" s="66" t="s">
        <v>182</v>
      </c>
      <c r="E163" s="74">
        <f>SUMIF(Variables!$B$4:$B$15,Formato!D163,Variables!$C$4:$C$15)</f>
        <v>1.85</v>
      </c>
      <c r="F163" s="67">
        <v>1146</v>
      </c>
      <c r="G163" s="67" t="s">
        <v>121</v>
      </c>
      <c r="H163" s="50">
        <v>2020</v>
      </c>
      <c r="I163" s="84">
        <f>(C163-E163)*((Factores!$E$14*Factores!$L$4)+Factores!$N$4*Factores!$L$20+Factores!$P$4*Factores!$L$21)*Factores!$J$4*F163*Variables!$C$18</f>
        <v>2847.268574591998</v>
      </c>
      <c r="K163" s="77">
        <f>Factores!$J$4*C163*F163*(Factores!$E$14*Factores!$L$4+Factores!$N$4*Factores!$L$20+Factores!$P$4*Factores!$L$21)*Variables!$C$18</f>
        <v>8259.0290502719981</v>
      </c>
      <c r="L163" s="77">
        <f>Factores!$J$4*E163*F163*(Factores!$E$14*Factores!$L$4+Factores!$N$4*Factores!$L$20+Factores!$P$4*Factores!$L$21)*Variables!$C$18</f>
        <v>5411.7604756800001</v>
      </c>
      <c r="M163" s="77">
        <f t="shared" ref="M163:M180" si="84">K163-L163</f>
        <v>2847.268574591998</v>
      </c>
      <c r="N163" s="77">
        <f t="shared" ref="N163:N181" si="85">I163-M163</f>
        <v>0</v>
      </c>
    </row>
    <row r="164" spans="2:14" x14ac:dyDescent="0.3">
      <c r="B164" s="50" t="s">
        <v>64</v>
      </c>
      <c r="C164" s="51">
        <v>2.8233333333333328</v>
      </c>
      <c r="D164" s="66" t="s">
        <v>183</v>
      </c>
      <c r="E164" s="74">
        <f>SUMIF(Variables!$B$4:$B$15,Formato!D164,Variables!$C$4:$C$15)</f>
        <v>1.92</v>
      </c>
      <c r="F164" s="67">
        <v>6</v>
      </c>
      <c r="G164" s="67" t="s">
        <v>121</v>
      </c>
      <c r="H164" s="50">
        <v>2020</v>
      </c>
      <c r="I164" s="84">
        <f>(C164-E164)*((Factores!$E$14*Factores!$L$4)+Factores!$N$4*Factores!$L$20+Factores!$P$4*Factores!$L$21)*Factores!$J$4*F164*Variables!$C$18</f>
        <v>13.835074655999991</v>
      </c>
      <c r="K164" s="77">
        <f>Factores!$J$4*C164*F164*(Factores!$E$14*Factores!$L$4+Factores!$N$4*Factores!$L$20+Factores!$P$4*Factores!$L$21)*Variables!$C$18</f>
        <v>43.240989791999986</v>
      </c>
      <c r="L164" s="77">
        <f>Factores!$J$4*E164*F164*(Factores!$E$14*Factores!$L$4+Factores!$N$4*Factores!$L$20+Factores!$P$4*Factores!$L$21)*Variables!$C$18</f>
        <v>29.405915135999997</v>
      </c>
      <c r="M164" s="77">
        <f t="shared" si="84"/>
        <v>13.835074655999989</v>
      </c>
      <c r="N164" s="77">
        <f t="shared" si="85"/>
        <v>0</v>
      </c>
    </row>
    <row r="165" spans="2:14" x14ac:dyDescent="0.3">
      <c r="B165" s="50" t="s">
        <v>64</v>
      </c>
      <c r="C165" s="51">
        <v>2.8233333333333328</v>
      </c>
      <c r="D165" s="66" t="s">
        <v>63</v>
      </c>
      <c r="E165" s="74">
        <f>SUMIF(Variables!$B$4:$B$15,Formato!D165,Variables!$C$4:$C$15)</f>
        <v>1.53</v>
      </c>
      <c r="F165" s="67">
        <v>401</v>
      </c>
      <c r="G165" s="67" t="s">
        <v>121</v>
      </c>
      <c r="H165" s="50">
        <v>2020</v>
      </c>
      <c r="I165" s="84">
        <f>(C165-E165)*((Factores!$E$14*Factores!$L$4)+Factores!$N$4*Factores!$L$20+Factores!$P$4*Factores!$L$21)*Factores!$J$4*F165*Variables!$C$18</f>
        <v>1323.8447697279994</v>
      </c>
      <c r="K165" s="77">
        <f>Factores!$J$4*C165*F165*(Factores!$E$14*Factores!$L$4+Factores!$N$4*Factores!$L$20+Factores!$P$4*Factores!$L$21)*Variables!$C$18</f>
        <v>2889.9394844319995</v>
      </c>
      <c r="L165" s="77">
        <f>Factores!$J$4*E165*F165*(Factores!$E$14*Factores!$L$4+Factores!$N$4*Factores!$L$20+Factores!$P$4*Factores!$L$21)*Variables!$C$18</f>
        <v>1566.0947147040001</v>
      </c>
      <c r="M165" s="77">
        <f t="shared" si="84"/>
        <v>1323.8447697279994</v>
      </c>
      <c r="N165" s="77">
        <f t="shared" si="85"/>
        <v>0</v>
      </c>
    </row>
    <row r="166" spans="2:14" x14ac:dyDescent="0.3">
      <c r="B166" s="50" t="s">
        <v>64</v>
      </c>
      <c r="C166" s="51">
        <v>2.8233333333333301</v>
      </c>
      <c r="D166" s="66" t="s">
        <v>62</v>
      </c>
      <c r="E166" s="74">
        <f>SUMIF(Variables!$B$4:$B$15,Formato!D166,Variables!$C$4:$C$15)</f>
        <v>1.42</v>
      </c>
      <c r="F166" s="67">
        <v>24810</v>
      </c>
      <c r="G166" s="67" t="s">
        <v>120</v>
      </c>
      <c r="H166" s="50">
        <v>2020</v>
      </c>
      <c r="I166" s="84">
        <f>(C166-E166)*((Factores!$D$14*Factores!$L$4)+Factores!$N$4*Factores!$L$20+Factores!$P$4*Factores!$L$21)*Factores!$J$4*F166*Variables!$C$18</f>
        <v>116612.26964399974</v>
      </c>
      <c r="K166" s="77">
        <f>Factores!$J$4*C166*F166*(Factores!$D$14*Factores!$L$4+Factores!$N$4*Factores!$L$20+Factores!$P$4*Factores!$L$21)*Variables!$C$18</f>
        <v>234609.48310799972</v>
      </c>
      <c r="L166" s="77">
        <f>Factores!$J$4*E166*F166*(Factores!$D$14*Factores!$L$4+Factores!$N$4*Factores!$L$20+Factores!$P$4*Factores!$L$21)*Variables!$C$18</f>
        <v>117997.21346399999</v>
      </c>
      <c r="M166" s="77">
        <f t="shared" si="84"/>
        <v>116612.26964399974</v>
      </c>
      <c r="N166" s="77">
        <f t="shared" si="85"/>
        <v>0</v>
      </c>
    </row>
    <row r="167" spans="2:14" x14ac:dyDescent="0.3">
      <c r="B167" s="50" t="s">
        <v>64</v>
      </c>
      <c r="C167" s="51">
        <v>2.8233333333333301</v>
      </c>
      <c r="D167" s="66" t="s">
        <v>62</v>
      </c>
      <c r="E167" s="74">
        <f>SUMIF(Variables!$B$4:$B$15,Formato!D167,Variables!$C$4:$C$15)</f>
        <v>1.42</v>
      </c>
      <c r="F167" s="67">
        <v>151684</v>
      </c>
      <c r="G167" s="67" t="s">
        <v>121</v>
      </c>
      <c r="H167" s="50">
        <v>2020</v>
      </c>
      <c r="I167" s="84">
        <f>(C167-E167)*((Factores!$E$14*Factores!$L$4)+Factores!$N$4*Factores!$L$20+Factores!$P$4*Factores!$L$21)*Factores!$J$4*F167*Variables!$C$18</f>
        <v>543353.95719238278</v>
      </c>
      <c r="K167" s="77">
        <f>Factores!$J$4*C167*F167*(Factores!$E$14*Factores!$L$4+Factores!$N$4*Factores!$L$20+Factores!$P$4*Factores!$L$21)*Variables!$C$18</f>
        <v>1093161.0492682869</v>
      </c>
      <c r="L167" s="77">
        <f>Factores!$J$4*E167*F167*(Factores!$E$14*Factores!$L$4+Factores!$N$4*Factores!$L$20+Factores!$P$4*Factores!$L$21)*Variables!$C$18</f>
        <v>549807.0920759039</v>
      </c>
      <c r="M167" s="77">
        <f t="shared" si="84"/>
        <v>543353.95719238301</v>
      </c>
      <c r="N167" s="77">
        <f t="shared" si="85"/>
        <v>0</v>
      </c>
    </row>
    <row r="168" spans="2:14" x14ac:dyDescent="0.3">
      <c r="B168" s="50" t="s">
        <v>64</v>
      </c>
      <c r="C168" s="51">
        <v>2.8233333333333301</v>
      </c>
      <c r="D168" s="66" t="s">
        <v>62</v>
      </c>
      <c r="E168" s="74">
        <f>SUMIF(Variables!$B$4:$B$15,Formato!D168,Variables!$C$4:$C$15)</f>
        <v>1.42</v>
      </c>
      <c r="F168" s="67">
        <v>11</v>
      </c>
      <c r="G168" s="67" t="s">
        <v>122</v>
      </c>
      <c r="H168" s="50">
        <v>2020</v>
      </c>
      <c r="I168" s="84">
        <f>(C168-E168)*((Factores!$F$14*Factores!$L$4)+Factores!$N$4*Factores!$L$20+Factores!$P$4*Factores!$L$21)*Factores!$J$4*F168*Variables!$C$18</f>
        <v>28.129731343999932</v>
      </c>
      <c r="K168" s="77">
        <f>Factores!$J$4*C168*F168*(Factores!$F$14*Factores!$L$4+Factores!$N$4*Factores!$L$20+Factores!$P$4*Factores!$L$21)*Variables!$C$18</f>
        <v>56.593545007999936</v>
      </c>
      <c r="L168" s="77">
        <f>Factores!$J$4*E168*F168*(Factores!$F$14*Factores!$L$4+Factores!$N$4*Factores!$L$20+Factores!$P$4*Factores!$L$21)*Variables!$C$18</f>
        <v>28.463813663999993</v>
      </c>
      <c r="M168" s="77">
        <f t="shared" ref="M168" si="86">K168-L168</f>
        <v>28.129731343999943</v>
      </c>
      <c r="N168" s="77">
        <f t="shared" si="85"/>
        <v>0</v>
      </c>
    </row>
    <row r="169" spans="2:14" x14ac:dyDescent="0.3">
      <c r="B169" s="50" t="s">
        <v>64</v>
      </c>
      <c r="C169" s="51">
        <v>2.8233333333333301</v>
      </c>
      <c r="D169" s="66" t="s">
        <v>168</v>
      </c>
      <c r="E169" s="74">
        <f>SUMIF(Variables!$B$4:$B$15,Formato!D169,Variables!$C$4:$C$15)</f>
        <v>0.84</v>
      </c>
      <c r="F169" s="67">
        <v>2802</v>
      </c>
      <c r="G169" s="67" t="s">
        <v>120</v>
      </c>
      <c r="H169" s="50">
        <v>2020</v>
      </c>
      <c r="I169" s="84">
        <f>(C169-E169)*((Factores!$D$14*Factores!$L$4)+Factores!$N$4*Factores!$L$20+Factores!$P$4*Factores!$L$21)*Factores!$J$4*F169*Variables!$C$18</f>
        <v>18613.176035999972</v>
      </c>
      <c r="K169" s="77">
        <f>Factores!$J$4*C169*F169*(Factores!$D$14*Factores!$L$4+Factores!$N$4*Factores!$L$20+Factores!$P$4*Factores!$L$21)*Variables!$C$18</f>
        <v>26496.403533599969</v>
      </c>
      <c r="L169" s="77">
        <f>Factores!$J$4*E169*F169*(Factores!$D$14*Factores!$L$4+Factores!$N$4*Factores!$L$20+Factores!$P$4*Factores!$L$21)*Variables!$C$18</f>
        <v>7883.227497599999</v>
      </c>
      <c r="M169" s="77">
        <f t="shared" ref="M169" si="87">K169-L169</f>
        <v>18613.176035999968</v>
      </c>
      <c r="N169" s="77">
        <f t="shared" si="85"/>
        <v>0</v>
      </c>
    </row>
    <row r="170" spans="2:14" x14ac:dyDescent="0.3">
      <c r="B170" s="50" t="s">
        <v>64</v>
      </c>
      <c r="C170" s="51">
        <v>2.8233333333333301</v>
      </c>
      <c r="D170" s="66" t="s">
        <v>168</v>
      </c>
      <c r="E170" s="74">
        <f>SUMIF(Variables!$B$4:$B$15,Formato!D170,Variables!$C$4:$C$15)</f>
        <v>0.84</v>
      </c>
      <c r="F170" s="67">
        <v>31388</v>
      </c>
      <c r="G170" s="67" t="s">
        <v>121</v>
      </c>
      <c r="H170" s="50">
        <v>2020</v>
      </c>
      <c r="I170" s="84">
        <f>(C170-E170)*((Factores!$E$14*Factores!$L$4)+Factores!$N$4*Factores!$L$20+Factores!$P$4*Factores!$L$21)*Factores!$J$4*F170*Variables!$C$18</f>
        <v>158906.46824415974</v>
      </c>
      <c r="K170" s="77">
        <f>Factores!$J$4*C170*F170*(Factores!$E$14*Factores!$L$4+Factores!$N$4*Factores!$L$20+Factores!$P$4*Factores!$L$21)*Variables!$C$18</f>
        <v>226208.03126521574</v>
      </c>
      <c r="L170" s="77">
        <f>Factores!$J$4*E170*F170*(Factores!$E$14*Factores!$L$4+Factores!$N$4*Factores!$L$20+Factores!$P$4*Factores!$L$21)*Variables!$C$18</f>
        <v>67301.56302105599</v>
      </c>
      <c r="M170" s="77">
        <f t="shared" si="84"/>
        <v>158906.46824415977</v>
      </c>
      <c r="N170" s="77">
        <f t="shared" si="85"/>
        <v>0</v>
      </c>
    </row>
    <row r="171" spans="2:14" x14ac:dyDescent="0.3">
      <c r="B171" s="50" t="s">
        <v>64</v>
      </c>
      <c r="C171" s="51">
        <v>2.8233333333333301</v>
      </c>
      <c r="D171" s="66" t="s">
        <v>168</v>
      </c>
      <c r="E171" s="74">
        <f>SUMIF(Variables!$B$4:$B$15,Formato!D171,Variables!$C$4:$C$15)</f>
        <v>0.84</v>
      </c>
      <c r="F171" s="67">
        <v>10521</v>
      </c>
      <c r="G171" s="67" t="s">
        <v>122</v>
      </c>
      <c r="H171" s="50">
        <v>2020</v>
      </c>
      <c r="I171" s="84">
        <f>(C171-E171)*((Factores!$F$14*Factores!$L$4)+Factores!$N$4*Factores!$L$20+Factores!$P$4*Factores!$L$21)*Factores!$J$4*F171*Variables!$C$18</f>
        <v>38024.61186887994</v>
      </c>
      <c r="K171" s="77">
        <f>Factores!$J$4*C171*F171*(Factores!$F$14*Factores!$L$4+Factores!$N$4*Factores!$L$20+Factores!$P$4*Factores!$L$21)*Variables!$C$18</f>
        <v>54129.153366287937</v>
      </c>
      <c r="L171" s="77">
        <f>Factores!$J$4*E171*F171*(Factores!$F$14*Factores!$L$4+Factores!$N$4*Factores!$L$20+Factores!$P$4*Factores!$L$21)*Variables!$C$18</f>
        <v>16104.541497407996</v>
      </c>
      <c r="M171" s="77">
        <f t="shared" si="84"/>
        <v>38024.61186887994</v>
      </c>
      <c r="N171" s="77">
        <f t="shared" si="85"/>
        <v>0</v>
      </c>
    </row>
    <row r="172" spans="2:14" x14ac:dyDescent="0.3">
      <c r="B172" s="50" t="s">
        <v>64</v>
      </c>
      <c r="C172" s="51">
        <v>2.8233333333333328</v>
      </c>
      <c r="D172" s="66" t="s">
        <v>170</v>
      </c>
      <c r="E172" s="74">
        <f>SUMIF(Variables!$B$4:$B$15,Formato!D172,Variables!$C$4:$C$15)</f>
        <v>1.8</v>
      </c>
      <c r="F172" s="67">
        <v>11205</v>
      </c>
      <c r="G172" s="67" t="s">
        <v>120</v>
      </c>
      <c r="H172" s="50">
        <v>2020</v>
      </c>
      <c r="I172" s="84">
        <f>(C172-E172)*((Factores!$D$14*Factores!$L$4)+Factores!$N$4*Factores!$L$20+Factores!$P$4*Factores!$L$21)*Factores!$J$4*F172*Variables!$C$18</f>
        <v>38404.810313999973</v>
      </c>
      <c r="K172" s="77">
        <f>Factores!$J$4*C172*F172*(Factores!$D$14*Factores!$L$4+Factores!$N$4*Factores!$L$20+Factores!$P$4*Factores!$L$21)*Variables!$C$18</f>
        <v>105957.24539399998</v>
      </c>
      <c r="L172" s="77">
        <f>Factores!$J$4*E172*F172*(Factores!$D$14*Factores!$L$4+Factores!$N$4*Factores!$L$20+Factores!$P$4*Factores!$L$21)*Variables!$C$18</f>
        <v>67552.435079999981</v>
      </c>
      <c r="M172" s="77">
        <f t="shared" ref="M172" si="88">K172-L172</f>
        <v>38404.810314000002</v>
      </c>
      <c r="N172" s="77">
        <f t="shared" si="85"/>
        <v>0</v>
      </c>
    </row>
    <row r="173" spans="2:14" x14ac:dyDescent="0.3">
      <c r="B173" s="50" t="s">
        <v>64</v>
      </c>
      <c r="C173" s="51">
        <v>2.8233333333333328</v>
      </c>
      <c r="D173" s="66" t="s">
        <v>170</v>
      </c>
      <c r="E173" s="74">
        <f>SUMIF(Variables!$B$4:$B$15,Formato!D173,Variables!$C$4:$C$15)</f>
        <v>1.8</v>
      </c>
      <c r="F173" s="67">
        <v>1274</v>
      </c>
      <c r="G173" s="67" t="s">
        <v>121</v>
      </c>
      <c r="H173" s="50">
        <v>2020</v>
      </c>
      <c r="I173" s="84">
        <f>(C173-E173)*((Factores!$E$14*Factores!$L$4)+Factores!$N$4*Factores!$L$20+Factores!$P$4*Factores!$L$21)*Factores!$J$4*F173*Variables!$C$18</f>
        <v>3327.8885174079983</v>
      </c>
      <c r="K173" s="77">
        <f>Factores!$J$4*C173*F173*(Factores!$E$14*Factores!$L$4+Factores!$N$4*Factores!$L$20+Factores!$P$4*Factores!$L$21)*Variables!$C$18</f>
        <v>9181.5034991679986</v>
      </c>
      <c r="L173" s="77">
        <f>Factores!$J$4*E173*F173*(Factores!$E$14*Factores!$L$4+Factores!$N$4*Factores!$L$20+Factores!$P$4*Factores!$L$21)*Variables!$C$18</f>
        <v>5853.6149817600008</v>
      </c>
      <c r="M173" s="77">
        <f t="shared" si="84"/>
        <v>3327.8885174079978</v>
      </c>
      <c r="N173" s="77">
        <f t="shared" si="85"/>
        <v>0</v>
      </c>
    </row>
    <row r="174" spans="2:14" x14ac:dyDescent="0.3">
      <c r="B174" s="50" t="s">
        <v>64</v>
      </c>
      <c r="C174" s="51">
        <v>2.8233333333333328</v>
      </c>
      <c r="D174" s="66" t="s">
        <v>167</v>
      </c>
      <c r="E174" s="74">
        <f>SUMIF(Variables!$B$4:$B$15,Formato!D174,Variables!$C$4:$C$15)</f>
        <v>1.53</v>
      </c>
      <c r="F174" s="67">
        <v>703</v>
      </c>
      <c r="G174" s="67" t="s">
        <v>120</v>
      </c>
      <c r="H174" s="50">
        <v>2020</v>
      </c>
      <c r="I174" s="84">
        <f>(C174-E174)*((Factores!$D$14*Factores!$L$4)+Factores!$N$4*Factores!$L$20+Factores!$P$4*Factores!$L$21)*Factores!$J$4*F174*Variables!$C$18</f>
        <v>3045.2464015999981</v>
      </c>
      <c r="K174" s="77">
        <f>Factores!$J$4*C174*F174*(Factores!$D$14*Factores!$L$4+Factores!$N$4*Factores!$L$20+Factores!$P$4*Factores!$L$21)*Variables!$C$18</f>
        <v>6647.7415003999986</v>
      </c>
      <c r="L174" s="77">
        <f>Factores!$J$4*E174*F174*(Factores!$D$14*Factores!$L$4+Factores!$N$4*Factores!$L$20+Factores!$P$4*Factores!$L$21)*Variables!$C$18</f>
        <v>3602.4950988000001</v>
      </c>
      <c r="M174" s="77">
        <f t="shared" ref="M174" si="89">K174-L174</f>
        <v>3045.2464015999985</v>
      </c>
      <c r="N174" s="77">
        <f t="shared" si="85"/>
        <v>0</v>
      </c>
    </row>
    <row r="175" spans="2:14" x14ac:dyDescent="0.3">
      <c r="B175" s="50" t="s">
        <v>64</v>
      </c>
      <c r="C175" s="51">
        <v>2.8233333333333301</v>
      </c>
      <c r="D175" s="66" t="s">
        <v>167</v>
      </c>
      <c r="E175" s="74">
        <f>SUMIF(Variables!$B$4:$B$15,Formato!D175,Variables!$C$4:$C$15)</f>
        <v>1.53</v>
      </c>
      <c r="F175" s="67">
        <v>75624</v>
      </c>
      <c r="G175" s="67" t="s">
        <v>121</v>
      </c>
      <c r="H175" s="50">
        <v>2020</v>
      </c>
      <c r="I175" s="84">
        <f>(C175-E175)*((Factores!$E$14*Factores!$L$4)+Factores!$N$4*Factores!$L$20+Factores!$P$4*Factores!$L$21)*Factores!$J$4*F175*Variables!$C$18</f>
        <v>249661.9373214714</v>
      </c>
      <c r="K175" s="77">
        <f>Factores!$J$4*C175*F175*(Factores!$E$14*Factores!$L$4+Factores!$N$4*Factores!$L$20+Factores!$P$4*Factores!$L$21)*Variables!$C$18</f>
        <v>545009.43533836748</v>
      </c>
      <c r="L175" s="77">
        <f>Factores!$J$4*E175*F175*(Factores!$E$14*Factores!$L$4+Factores!$N$4*Factores!$L$20+Factores!$P$4*Factores!$L$21)*Variables!$C$18</f>
        <v>295347.49801689596</v>
      </c>
      <c r="M175" s="77">
        <f t="shared" si="84"/>
        <v>249661.93732147152</v>
      </c>
      <c r="N175" s="77">
        <f t="shared" si="85"/>
        <v>0</v>
      </c>
    </row>
    <row r="176" spans="2:14" x14ac:dyDescent="0.3">
      <c r="B176" s="50" t="s">
        <v>64</v>
      </c>
      <c r="C176" s="51">
        <v>2.8233333333333301</v>
      </c>
      <c r="D176" s="66" t="s">
        <v>171</v>
      </c>
      <c r="E176" s="74">
        <f>SUMIF(Variables!$B$4:$B$15,Formato!D176,Variables!$C$4:$C$15)</f>
        <v>1.9</v>
      </c>
      <c r="F176" s="67">
        <v>5593</v>
      </c>
      <c r="G176" s="67" t="s">
        <v>120</v>
      </c>
      <c r="H176" s="50">
        <v>2020</v>
      </c>
      <c r="I176" s="84">
        <f>(C176-E176)*((Factores!$D$14*Factores!$L$4)+Factores!$N$4*Factores!$L$20+Factores!$P$4*Factores!$L$21)*Factores!$J$4*F176*Variables!$C$18</f>
        <v>17296.569508399942</v>
      </c>
      <c r="K176" s="77">
        <f>Factores!$J$4*C176*F176*(Factores!$D$14*Factores!$L$4+Factores!$N$4*Factores!$L$20+Factores!$P$4*Factores!$L$21)*Variables!$C$18</f>
        <v>52888.788352399941</v>
      </c>
      <c r="L176" s="77">
        <f>Factores!$J$4*E176*F176*(Factores!$D$14*Factores!$L$4+Factores!$N$4*Factores!$L$20+Factores!$P$4*Factores!$L$21)*Variables!$C$18</f>
        <v>35592.218843999995</v>
      </c>
      <c r="M176" s="77">
        <f t="shared" ref="M176:M177" si="90">K176-L176</f>
        <v>17296.569508399945</v>
      </c>
      <c r="N176" s="77">
        <f t="shared" si="85"/>
        <v>0</v>
      </c>
    </row>
    <row r="177" spans="2:14" x14ac:dyDescent="0.3">
      <c r="B177" s="50" t="s">
        <v>64</v>
      </c>
      <c r="C177" s="51">
        <v>2.8233333333333301</v>
      </c>
      <c r="D177" s="66" t="s">
        <v>172</v>
      </c>
      <c r="E177" s="74">
        <f>SUMIF(Variables!$B$4:$B$15,Formato!D177,Variables!$C$4:$C$15)</f>
        <v>2</v>
      </c>
      <c r="F177" s="67">
        <v>2697</v>
      </c>
      <c r="G177" s="67" t="s">
        <v>120</v>
      </c>
      <c r="H177" s="50">
        <v>2020</v>
      </c>
      <c r="I177" s="84">
        <f>(C177-E177)*((Factores!$D$14*Factores!$L$4)+Factores!$N$4*Factores!$L$20+Factores!$P$4*Factores!$L$21)*Factores!$J$4*F177*Variables!$C$18</f>
        <v>7437.2655395999709</v>
      </c>
      <c r="K177" s="77">
        <f>Factores!$J$4*C177*F177*(Factores!$D$14*Factores!$L$4+Factores!$N$4*Factores!$L$20+Factores!$P$4*Factores!$L$21)*Variables!$C$18</f>
        <v>25503.49761959997</v>
      </c>
      <c r="L177" s="77">
        <f>Factores!$J$4*E177*F177*(Factores!$D$14*Factores!$L$4+Factores!$N$4*Factores!$L$20+Factores!$P$4*Factores!$L$21)*Variables!$C$18</f>
        <v>18066.232079999998</v>
      </c>
      <c r="M177" s="77">
        <f t="shared" si="90"/>
        <v>7437.2655395999718</v>
      </c>
      <c r="N177" s="77">
        <f t="shared" si="85"/>
        <v>0</v>
      </c>
    </row>
    <row r="178" spans="2:14" x14ac:dyDescent="0.3">
      <c r="B178" s="50" t="s">
        <v>64</v>
      </c>
      <c r="C178" s="51">
        <v>2.8233333333333301</v>
      </c>
      <c r="D178" s="66" t="s">
        <v>172</v>
      </c>
      <c r="E178" s="74">
        <f>SUMIF(Variables!$B$4:$B$15,Formato!D178,Variables!$C$4:$C$15)</f>
        <v>2</v>
      </c>
      <c r="F178" s="67">
        <v>526</v>
      </c>
      <c r="G178" s="67" t="s">
        <v>121</v>
      </c>
      <c r="H178" s="50">
        <v>2020</v>
      </c>
      <c r="I178" s="84">
        <f>(C178-E178)*((Factores!$E$14*Factores!$L$4)+Factores!$N$4*Factores!$L$20+Factores!$P$4*Factores!$L$21)*Factores!$J$4*F178*Variables!$C$18</f>
        <v>1105.4616048319958</v>
      </c>
      <c r="K178" s="77">
        <f>Factores!$J$4*C178*F178*(Factores!$E$14*Factores!$L$4+Factores!$N$4*Factores!$L$20+Factores!$P$4*Factores!$L$21)*Variables!$C$18</f>
        <v>3790.793438431996</v>
      </c>
      <c r="L178" s="77">
        <f>Factores!$J$4*E178*F178*(Factores!$E$14*Factores!$L$4+Factores!$N$4*Factores!$L$20+Factores!$P$4*Factores!$L$21)*Variables!$C$18</f>
        <v>2685.3318336000002</v>
      </c>
      <c r="M178" s="77">
        <f t="shared" si="84"/>
        <v>1105.4616048319958</v>
      </c>
      <c r="N178" s="77">
        <f t="shared" si="85"/>
        <v>0</v>
      </c>
    </row>
    <row r="179" spans="2:14" x14ac:dyDescent="0.3">
      <c r="B179" s="50" t="s">
        <v>64</v>
      </c>
      <c r="C179" s="51">
        <v>2.8233333333333301</v>
      </c>
      <c r="D179" s="66" t="s">
        <v>184</v>
      </c>
      <c r="E179" s="74">
        <f>SUMIF(Variables!$B$4:$B$15,Formato!D179,Variables!$C$4:$C$15)</f>
        <v>1.7</v>
      </c>
      <c r="F179" s="67">
        <v>299</v>
      </c>
      <c r="G179" s="67" t="s">
        <v>122</v>
      </c>
      <c r="H179" s="50">
        <v>2020</v>
      </c>
      <c r="I179" s="84">
        <f>(C179-E179)*((Factores!$F$14*Factores!$L$4)+Factores!$N$4*Factores!$L$20+Factores!$P$4*Factores!$L$21)*Factores!$J$4*F179*Variables!$C$18</f>
        <v>612.05703291199814</v>
      </c>
      <c r="K179" s="77">
        <f>Factores!$J$4*C179*F179*(Factores!$F$14*Factores!$L$4+Factores!$N$4*Factores!$L$20+Factores!$P$4*Factores!$L$21)*Variables!$C$18</f>
        <v>1538.3154506719982</v>
      </c>
      <c r="L179" s="77">
        <f>Factores!$J$4*E179*F179*(Factores!$F$14*Factores!$L$4+Factores!$N$4*Factores!$L$20+Factores!$P$4*Factores!$L$21)*Variables!$C$18</f>
        <v>926.25841775999993</v>
      </c>
      <c r="M179" s="77">
        <f t="shared" ref="M179" si="91">K179-L179</f>
        <v>612.05703291199825</v>
      </c>
      <c r="N179" s="77">
        <f t="shared" si="85"/>
        <v>0</v>
      </c>
    </row>
    <row r="180" spans="2:14" x14ac:dyDescent="0.3">
      <c r="B180" s="50" t="s">
        <v>64</v>
      </c>
      <c r="C180" s="51">
        <v>2.8233333333333301</v>
      </c>
      <c r="D180" s="66" t="s">
        <v>169</v>
      </c>
      <c r="E180" s="74">
        <f>SUMIF(Variables!$B$4:$B$15,Formato!D180,Variables!$C$4:$C$15)</f>
        <v>1.1599999999999999</v>
      </c>
      <c r="F180" s="67">
        <v>86</v>
      </c>
      <c r="G180" s="67" t="s">
        <v>121</v>
      </c>
      <c r="H180" s="50">
        <v>2020</v>
      </c>
      <c r="I180" s="84">
        <f>(C180-E180)*((Factores!$E$14*Factores!$L$4)+Factores!$N$4*Factores!$L$20+Factores!$P$4*Factores!$L$21)*Factores!$J$4*F180*Variables!$C$18</f>
        <v>365.14046358399929</v>
      </c>
      <c r="K180" s="77">
        <f>Factores!$J$4*C180*F180*(Factores!$E$14*Factores!$L$4+Factores!$N$4*Factores!$L$20+Factores!$P$4*Factores!$L$21)*Variables!$C$18</f>
        <v>619.78752035199932</v>
      </c>
      <c r="L180" s="77">
        <f>Factores!$J$4*E180*F180*(Factores!$E$14*Factores!$L$4+Factores!$N$4*Factores!$L$20+Factores!$P$4*Factores!$L$21)*Variables!$C$18</f>
        <v>254.647056768</v>
      </c>
      <c r="M180" s="77">
        <f t="shared" si="84"/>
        <v>365.14046358399935</v>
      </c>
      <c r="N180" s="77">
        <f t="shared" si="85"/>
        <v>0</v>
      </c>
    </row>
    <row r="181" spans="2:14" x14ac:dyDescent="0.3">
      <c r="B181" s="50" t="s">
        <v>64</v>
      </c>
      <c r="C181" s="51">
        <v>2.8233333333333301</v>
      </c>
      <c r="D181" s="66" t="s">
        <v>169</v>
      </c>
      <c r="E181" s="74">
        <f>SUMIF(Variables!$B$4:$B$15,Formato!D181,Variables!$C$4:$C$15)</f>
        <v>1.1599999999999999</v>
      </c>
      <c r="F181" s="67">
        <v>31310</v>
      </c>
      <c r="G181" s="67" t="s">
        <v>122</v>
      </c>
      <c r="H181" s="50">
        <v>2020</v>
      </c>
      <c r="I181" s="84">
        <f>(C181-E181)*((Factores!$F$14*Factores!$L$4)+Factores!$N$4*Factores!$L$20+Factores!$P$4*Factores!$L$21)*Factores!$J$4*F181*Variables!$C$18</f>
        <v>94901.792766559811</v>
      </c>
      <c r="K181" s="77">
        <f>Factores!$J$4*C181*F181*(Factores!$F$14*Factores!$L$4+Factores!$N$4*Factores!$L$20+Factores!$P$4*Factores!$L$21)*Variables!$C$18</f>
        <v>161085.80856367981</v>
      </c>
      <c r="L181" s="77">
        <f>Factores!$J$4*E181*F181*(Factores!$F$14*Factores!$L$4+Factores!$N$4*Factores!$L$20+Factores!$P$4*Factores!$L$21)*Variables!$C$18</f>
        <v>66184.015797119995</v>
      </c>
      <c r="M181" s="77">
        <f t="shared" ref="M181" si="92">K181-L181</f>
        <v>94901.792766559811</v>
      </c>
      <c r="N181" s="77">
        <f t="shared" si="85"/>
        <v>0</v>
      </c>
    </row>
    <row r="182" spans="2:14" x14ac:dyDescent="0.3">
      <c r="B182" s="116" t="s">
        <v>178</v>
      </c>
      <c r="I182" s="86">
        <f>SUM(I163:I181)</f>
        <v>1295881.7306061096</v>
      </c>
    </row>
    <row r="183" spans="2:14" x14ac:dyDescent="0.3">
      <c r="B183" s="1" t="s">
        <v>59</v>
      </c>
      <c r="C183" s="1">
        <v>2010</v>
      </c>
      <c r="D183" s="1">
        <v>2011</v>
      </c>
      <c r="E183" s="1">
        <v>2012</v>
      </c>
      <c r="F183" s="1">
        <v>2013</v>
      </c>
      <c r="G183" s="1">
        <v>2014</v>
      </c>
      <c r="H183" s="1">
        <v>2015</v>
      </c>
      <c r="I183" s="1">
        <v>2016</v>
      </c>
      <c r="J183" s="1">
        <v>2017</v>
      </c>
      <c r="K183" s="1">
        <v>2018</v>
      </c>
      <c r="L183" s="1">
        <v>2019</v>
      </c>
      <c r="M183" s="1">
        <v>2020</v>
      </c>
      <c r="N183" s="1">
        <v>2021</v>
      </c>
    </row>
    <row r="184" spans="2:14" x14ac:dyDescent="0.3">
      <c r="B184" s="1" t="s">
        <v>181</v>
      </c>
      <c r="C184" s="85">
        <f>I15*-1</f>
        <v>-169054.89335612793</v>
      </c>
      <c r="D184" s="85">
        <f>I27*-1</f>
        <v>-490537.87185935961</v>
      </c>
      <c r="E184" s="85">
        <f>I41*-1</f>
        <v>-518307.9981480951</v>
      </c>
      <c r="F184" s="85">
        <f>I55*-1</f>
        <v>-626150.84251823951</v>
      </c>
      <c r="G184" s="85">
        <f>I70*-1</f>
        <v>-791368.53774367867</v>
      </c>
      <c r="H184" s="85">
        <f>I85*-1</f>
        <v>-816273.35167705489</v>
      </c>
      <c r="I184" s="85">
        <f>I102*-1</f>
        <v>-1192261.8327832143</v>
      </c>
      <c r="J184" s="85">
        <f>I122*-1</f>
        <v>-1295036.0701181255</v>
      </c>
      <c r="K184" s="85">
        <f>I142*-1</f>
        <v>-1295881.7306061094</v>
      </c>
      <c r="L184" s="85">
        <f>I162*-1</f>
        <v>-1295881.7306061096</v>
      </c>
      <c r="M184" s="119">
        <f>I182</f>
        <v>1295881.7306061096</v>
      </c>
    </row>
    <row r="185" spans="2:14" x14ac:dyDescent="0.3">
      <c r="B185" s="1" t="s">
        <v>181</v>
      </c>
      <c r="C185" s="85">
        <f>C184/1000000</f>
        <v>-0.16905489335612792</v>
      </c>
      <c r="D185" s="85">
        <f t="shared" ref="D185:M185" si="93">D184/1000000</f>
        <v>-0.4905378718593596</v>
      </c>
      <c r="E185" s="85">
        <f t="shared" si="93"/>
        <v>-0.51830799814809514</v>
      </c>
      <c r="F185" s="85">
        <f t="shared" si="93"/>
        <v>-0.62615084251823949</v>
      </c>
      <c r="G185" s="85">
        <f t="shared" si="93"/>
        <v>-0.79136853774367866</v>
      </c>
      <c r="H185" s="85">
        <f t="shared" si="93"/>
        <v>-0.81627335167705484</v>
      </c>
      <c r="I185" s="85">
        <f t="shared" si="93"/>
        <v>-1.1922618327832142</v>
      </c>
      <c r="J185" s="85">
        <f t="shared" si="93"/>
        <v>-1.2950360701181256</v>
      </c>
      <c r="K185" s="85">
        <f t="shared" si="93"/>
        <v>-1.2958817306061094</v>
      </c>
      <c r="L185" s="85">
        <f t="shared" si="93"/>
        <v>-1.2958817306061097</v>
      </c>
      <c r="M185" s="85">
        <f t="shared" si="93"/>
        <v>1.2958817306061097</v>
      </c>
    </row>
  </sheetData>
  <mergeCells count="2">
    <mergeCell ref="B2:C2"/>
    <mergeCell ref="D2:J2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Variables!$B$3</xm:f>
          </x14:formula1>
          <xm:sqref>B103:B121 B5:B14 B56:B69 B16:B26 B86:B101 B28:B40 B123:B141 B71:B84 B42:B54 B143:B161 B163:B181</xm:sqref>
        </x14:dataValidation>
        <x14:dataValidation type="list" allowBlank="1" showInputMessage="1" showErrorMessage="1" xr:uid="{00000000-0002-0000-0200-000001000000}">
          <x14:formula1>
            <xm:f>Variables!$C$3</xm:f>
          </x14:formula1>
          <xm:sqref>C103:C121 C5:C14 C56:C69 C16:C26 C86:C101 C28:C40 C123:C141 C71:C84 C42:C54 C143:C181</xm:sqref>
        </x14:dataValidation>
        <x14:dataValidation type="list" allowBlank="1" showInputMessage="1" showErrorMessage="1" xr:uid="{00000000-0002-0000-0200-000003000000}">
          <x14:formula1>
            <xm:f>Factores!$D$3:$F$3</xm:f>
          </x14:formula1>
          <xm:sqref>G103:G121 G123:G141 G28:G40 G5:G14 G42:G54 G86:G101 G56:G69 G71:G84 G16:G26 G143:G181</xm:sqref>
        </x14:dataValidation>
        <x14:dataValidation type="list" allowBlank="1" showInputMessage="1" showErrorMessage="1" xr:uid="{00000000-0002-0000-0200-000006000000}">
          <x14:formula1>
            <xm:f>Variables!$C$3:$C$12</xm:f>
          </x14:formula1>
          <xm:sqref>E162</xm:sqref>
        </x14:dataValidation>
        <x14:dataValidation type="list" allowBlank="1" showInputMessage="1" showErrorMessage="1" xr:uid="{722BEB1D-58A6-408C-A2AF-092BEBD1B937}">
          <x14:formula1>
            <xm:f>Variables!$B$4:$B$15</xm:f>
          </x14:formula1>
          <xm:sqref>D5:D14 D16:D26 D28:D40 D42:D54 D56:D69 D71:D84 D86:D101 D103:D121 D123:D141 D143:D181</xm:sqref>
        </x14:dataValidation>
        <x14:dataValidation type="list" allowBlank="1" showInputMessage="1" showErrorMessage="1" xr:uid="{CBBB40AC-B558-4933-AF47-4E96796E80E2}">
          <x14:formula1>
            <xm:f>Variables!$C$3:$C$15</xm:f>
          </x14:formula1>
          <xm:sqref>E103:E121 E5:E14 E16:E26 E28:E40 E42:E54 E56:E69 E71:E84 E86:E101 E123:E141 E143:E161 E163:E181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8"/>
  <sheetViews>
    <sheetView workbookViewId="0">
      <selection activeCell="I17" sqref="I17"/>
    </sheetView>
  </sheetViews>
  <sheetFormatPr baseColWidth="10" defaultColWidth="11.44140625" defaultRowHeight="14.4" x14ac:dyDescent="0.3"/>
  <cols>
    <col min="1" max="1" width="3.109375" style="1" customWidth="1"/>
    <col min="2" max="2" width="21.88671875" style="1" customWidth="1"/>
    <col min="3" max="3" width="17" style="1" customWidth="1"/>
    <col min="4" max="4" width="11.44140625" style="1"/>
    <col min="5" max="5" width="24.5546875" style="1" customWidth="1"/>
    <col min="6" max="16384" width="11.44140625" style="1"/>
  </cols>
  <sheetData>
    <row r="1" spans="2:5" ht="15" thickBot="1" x14ac:dyDescent="0.35"/>
    <row r="2" spans="2:5" ht="30" customHeight="1" thickBot="1" x14ac:dyDescent="0.35">
      <c r="B2" s="69" t="s">
        <v>57</v>
      </c>
      <c r="C2" s="70" t="s">
        <v>65</v>
      </c>
      <c r="E2" s="46" t="s">
        <v>156</v>
      </c>
    </row>
    <row r="3" spans="2:5" x14ac:dyDescent="0.3">
      <c r="B3" s="68" t="s">
        <v>64</v>
      </c>
      <c r="C3" s="82">
        <f>[1]Consumos!$D$54</f>
        <v>2.8233333333333328</v>
      </c>
      <c r="E3" s="42" t="s">
        <v>159</v>
      </c>
    </row>
    <row r="4" spans="2:5" x14ac:dyDescent="0.3">
      <c r="B4" s="53" t="s">
        <v>167</v>
      </c>
      <c r="C4" s="83">
        <f>[1]Consumos!$C$55</f>
        <v>1.53</v>
      </c>
      <c r="E4" s="71" t="s">
        <v>157</v>
      </c>
    </row>
    <row r="5" spans="2:5" x14ac:dyDescent="0.3">
      <c r="B5" s="53" t="s">
        <v>168</v>
      </c>
      <c r="C5" s="83">
        <f>[1]Consumos!$C$58</f>
        <v>0.84</v>
      </c>
      <c r="E5" s="71" t="s">
        <v>158</v>
      </c>
    </row>
    <row r="6" spans="2:5" x14ac:dyDescent="0.3">
      <c r="B6" s="53" t="s">
        <v>62</v>
      </c>
      <c r="C6" s="83">
        <f>[1]Consumos!$C$56</f>
        <v>1.42</v>
      </c>
      <c r="E6" s="71" t="s">
        <v>160</v>
      </c>
    </row>
    <row r="7" spans="2:5" ht="15" customHeight="1" x14ac:dyDescent="0.3">
      <c r="B7" s="53" t="s">
        <v>170</v>
      </c>
      <c r="C7" s="83">
        <v>1.8</v>
      </c>
      <c r="E7" s="71" t="s">
        <v>161</v>
      </c>
    </row>
    <row r="8" spans="2:5" x14ac:dyDescent="0.3">
      <c r="B8" s="53" t="s">
        <v>171</v>
      </c>
      <c r="C8" s="83">
        <v>1.9</v>
      </c>
      <c r="E8" s="71" t="s">
        <v>162</v>
      </c>
    </row>
    <row r="9" spans="2:5" x14ac:dyDescent="0.3">
      <c r="B9" s="53" t="s">
        <v>172</v>
      </c>
      <c r="C9" s="83">
        <v>2</v>
      </c>
      <c r="E9" s="71" t="s">
        <v>163</v>
      </c>
    </row>
    <row r="10" spans="2:5" x14ac:dyDescent="0.3">
      <c r="B10" s="53" t="s">
        <v>169</v>
      </c>
      <c r="C10" s="83">
        <f>[1]Consumos!$C$59</f>
        <v>1.1599999999999999</v>
      </c>
      <c r="E10" s="71" t="s">
        <v>164</v>
      </c>
    </row>
    <row r="11" spans="2:5" x14ac:dyDescent="0.3">
      <c r="B11" s="53" t="s">
        <v>63</v>
      </c>
      <c r="C11" s="83">
        <f>[1]Consumos!$C$55</f>
        <v>1.53</v>
      </c>
      <c r="E11" s="71" t="s">
        <v>165</v>
      </c>
    </row>
    <row r="12" spans="2:5" x14ac:dyDescent="0.3">
      <c r="B12" s="53" t="s">
        <v>166</v>
      </c>
      <c r="C12" s="83">
        <f>[1]Consumos!$C$57</f>
        <v>2.06</v>
      </c>
      <c r="E12" s="71"/>
    </row>
    <row r="13" spans="2:5" x14ac:dyDescent="0.3">
      <c r="B13" s="72" t="s">
        <v>182</v>
      </c>
      <c r="C13" s="83">
        <v>1.85</v>
      </c>
      <c r="E13" s="71"/>
    </row>
    <row r="14" spans="2:5" x14ac:dyDescent="0.3">
      <c r="B14" s="113" t="s">
        <v>183</v>
      </c>
      <c r="C14" s="114">
        <v>1.92</v>
      </c>
      <c r="E14" s="71"/>
    </row>
    <row r="15" spans="2:5" ht="15" thickBot="1" x14ac:dyDescent="0.35">
      <c r="B15" s="73" t="s">
        <v>184</v>
      </c>
      <c r="C15" s="115">
        <v>1.7</v>
      </c>
      <c r="E15" s="71"/>
    </row>
    <row r="16" spans="2:5" ht="15" thickBot="1" x14ac:dyDescent="0.35">
      <c r="E16" s="41"/>
    </row>
    <row r="17" spans="2:3" ht="15" thickBot="1" x14ac:dyDescent="0.35"/>
    <row r="18" spans="2:3" ht="15" thickBot="1" x14ac:dyDescent="0.35">
      <c r="B18" s="43" t="s">
        <v>78</v>
      </c>
      <c r="C18" s="52">
        <v>3.8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C24"/>
  <sheetViews>
    <sheetView workbookViewId="0">
      <selection activeCell="P4" sqref="P4"/>
    </sheetView>
  </sheetViews>
  <sheetFormatPr baseColWidth="10" defaultColWidth="11.44140625" defaultRowHeight="14.4" x14ac:dyDescent="0.3"/>
  <cols>
    <col min="1" max="1" width="2.6640625" style="1" customWidth="1"/>
    <col min="2" max="2" width="8.44140625" style="1" customWidth="1"/>
    <col min="3" max="3" width="12.109375" style="1" bestFit="1" customWidth="1"/>
    <col min="4" max="4" width="5.88671875" style="1" bestFit="1" customWidth="1"/>
    <col min="5" max="5" width="6.109375" style="1" bestFit="1" customWidth="1"/>
    <col min="6" max="6" width="5.6640625" style="1" bestFit="1" customWidth="1"/>
    <col min="7" max="7" width="61.33203125" style="1" customWidth="1"/>
    <col min="8" max="8" width="3" style="1" customWidth="1"/>
    <col min="9" max="9" width="17.109375" style="1" bestFit="1" customWidth="1"/>
    <col min="10" max="10" width="8.5546875" style="1" bestFit="1" customWidth="1"/>
    <col min="11" max="11" width="7.44140625" style="1" bestFit="1" customWidth="1"/>
    <col min="12" max="12" width="8.44140625" style="1" bestFit="1" customWidth="1"/>
    <col min="13" max="13" width="8.88671875" style="1" bestFit="1" customWidth="1"/>
    <col min="14" max="14" width="8.33203125" style="1" bestFit="1" customWidth="1"/>
    <col min="15" max="15" width="8.6640625" style="1" bestFit="1" customWidth="1"/>
    <col min="16" max="16" width="8.33203125" style="1" bestFit="1" customWidth="1"/>
    <col min="17" max="17" width="9.109375" style="1" bestFit="1" customWidth="1"/>
    <col min="18" max="19" width="2.6640625" style="1" customWidth="1"/>
    <col min="20" max="20" width="25.44140625" style="1" customWidth="1"/>
    <col min="21" max="21" width="9" style="1" bestFit="1" customWidth="1"/>
    <col min="22" max="22" width="9.6640625" style="1" customWidth="1"/>
    <col min="23" max="23" width="9.88671875" style="1" customWidth="1"/>
    <col min="24" max="24" width="9.44140625" style="1" customWidth="1"/>
    <col min="25" max="25" width="8.88671875" style="1" customWidth="1"/>
    <col min="26" max="26" width="8.5546875" style="1" customWidth="1"/>
    <col min="27" max="27" width="8.109375" style="1" customWidth="1"/>
    <col min="28" max="28" width="10.5546875" style="1" customWidth="1"/>
    <col min="29" max="16384" width="11.44140625" style="1"/>
  </cols>
  <sheetData>
    <row r="2" spans="2:29" ht="12.75" customHeight="1" x14ac:dyDescent="0.3">
      <c r="B2" s="21" t="s">
        <v>66</v>
      </c>
      <c r="C2" s="21"/>
      <c r="I2" s="109" t="s">
        <v>68</v>
      </c>
      <c r="J2" s="111" t="s">
        <v>69</v>
      </c>
      <c r="K2" s="112"/>
      <c r="L2" s="108" t="s">
        <v>70</v>
      </c>
      <c r="M2" s="108"/>
      <c r="N2" s="108"/>
      <c r="O2" s="108"/>
      <c r="P2" s="108"/>
      <c r="Q2" s="108"/>
      <c r="T2" s="34" t="s">
        <v>126</v>
      </c>
      <c r="AB2" s="35"/>
    </row>
    <row r="3" spans="2:29" ht="30.75" customHeight="1" x14ac:dyDescent="0.3">
      <c r="B3" s="47" t="s">
        <v>59</v>
      </c>
      <c r="C3" s="47" t="s">
        <v>124</v>
      </c>
      <c r="D3" s="47" t="s">
        <v>120</v>
      </c>
      <c r="E3" s="47" t="s">
        <v>121</v>
      </c>
      <c r="F3" s="47" t="s">
        <v>122</v>
      </c>
      <c r="G3" s="47" t="s">
        <v>29</v>
      </c>
      <c r="I3" s="110"/>
      <c r="J3" s="44" t="s">
        <v>71</v>
      </c>
      <c r="K3" s="44" t="s">
        <v>72</v>
      </c>
      <c r="L3" s="45" t="s">
        <v>71</v>
      </c>
      <c r="M3" s="45" t="s">
        <v>72</v>
      </c>
      <c r="N3" s="45" t="s">
        <v>71</v>
      </c>
      <c r="O3" s="45" t="s">
        <v>72</v>
      </c>
      <c r="P3" s="45" t="s">
        <v>71</v>
      </c>
      <c r="Q3" s="45" t="s">
        <v>72</v>
      </c>
      <c r="T3" s="36" t="s">
        <v>127</v>
      </c>
      <c r="U3" s="37" t="s">
        <v>128</v>
      </c>
      <c r="V3" s="37" t="s">
        <v>129</v>
      </c>
      <c r="W3" s="37" t="s">
        <v>130</v>
      </c>
      <c r="X3" s="37" t="s">
        <v>131</v>
      </c>
      <c r="Y3" s="37" t="s">
        <v>132</v>
      </c>
      <c r="Z3" s="37" t="s">
        <v>133</v>
      </c>
      <c r="AA3" s="37" t="s">
        <v>134</v>
      </c>
      <c r="AB3" s="38" t="s">
        <v>135</v>
      </c>
      <c r="AC3" s="39" t="s">
        <v>136</v>
      </c>
    </row>
    <row r="4" spans="2:29" ht="15.6" x14ac:dyDescent="0.35">
      <c r="B4" s="22">
        <v>2010</v>
      </c>
      <c r="C4" s="54">
        <v>0.3</v>
      </c>
      <c r="D4" s="55">
        <v>0.4</v>
      </c>
      <c r="E4" s="55">
        <v>0.32</v>
      </c>
      <c r="F4" s="55">
        <v>0.28000000000000003</v>
      </c>
      <c r="G4" s="31" t="s">
        <v>67</v>
      </c>
      <c r="I4" s="20" t="s">
        <v>74</v>
      </c>
      <c r="J4" s="23">
        <f>15600/1000000</f>
        <v>1.5599999999999999E-2</v>
      </c>
      <c r="K4" s="20" t="s">
        <v>99</v>
      </c>
      <c r="L4" s="24">
        <f>112000/1000</f>
        <v>112</v>
      </c>
      <c r="M4" s="20" t="s">
        <v>100</v>
      </c>
      <c r="N4" s="27">
        <f>300/1000</f>
        <v>0.3</v>
      </c>
      <c r="O4" s="20" t="s">
        <v>101</v>
      </c>
      <c r="P4" s="27">
        <f>4/1000</f>
        <v>4.0000000000000001E-3</v>
      </c>
      <c r="Q4" s="20" t="s">
        <v>102</v>
      </c>
      <c r="T4" s="20" t="s">
        <v>143</v>
      </c>
      <c r="U4" s="58">
        <v>4000</v>
      </c>
      <c r="V4" s="58">
        <v>50</v>
      </c>
      <c r="W4" s="58">
        <v>600</v>
      </c>
      <c r="X4" s="58">
        <v>11</v>
      </c>
      <c r="Y4" s="58">
        <v>760</v>
      </c>
      <c r="Z4" s="58">
        <v>740</v>
      </c>
      <c r="AA4" s="58">
        <f>AB4/100*Z4</f>
        <v>74</v>
      </c>
      <c r="AB4" s="59">
        <v>10</v>
      </c>
      <c r="AC4" s="1" t="s">
        <v>144</v>
      </c>
    </row>
    <row r="5" spans="2:29" ht="15.6" x14ac:dyDescent="0.35">
      <c r="B5" s="22">
        <v>2011</v>
      </c>
      <c r="C5" s="54">
        <v>0.3</v>
      </c>
      <c r="D5" s="55">
        <v>0.41</v>
      </c>
      <c r="E5" s="55">
        <v>0.3</v>
      </c>
      <c r="F5" s="55">
        <v>0.19</v>
      </c>
      <c r="G5" s="31" t="s">
        <v>67</v>
      </c>
      <c r="I5" s="20" t="s">
        <v>76</v>
      </c>
      <c r="J5" s="23">
        <f>0.0473*1000000/1000000</f>
        <v>4.7300000000000002E-2</v>
      </c>
      <c r="K5" s="20" t="s">
        <v>99</v>
      </c>
      <c r="L5" s="24">
        <f>63100/1000</f>
        <v>63.1</v>
      </c>
      <c r="M5" s="20" t="s">
        <v>100</v>
      </c>
      <c r="N5" s="23">
        <f>1/1000</f>
        <v>1E-3</v>
      </c>
      <c r="O5" s="20" t="s">
        <v>101</v>
      </c>
      <c r="P5" s="23">
        <f>0.1/1000</f>
        <v>1E-4</v>
      </c>
      <c r="Q5" s="20" t="s">
        <v>102</v>
      </c>
      <c r="T5" s="20" t="s">
        <v>142</v>
      </c>
      <c r="U5" s="81">
        <f t="shared" ref="U5:AB5" si="0">U6</f>
        <v>26</v>
      </c>
      <c r="V5" s="81">
        <f t="shared" si="0"/>
        <v>51</v>
      </c>
      <c r="W5" s="81">
        <f t="shared" si="0"/>
        <v>1.9</v>
      </c>
      <c r="X5" s="81">
        <f t="shared" si="0"/>
        <v>0.3</v>
      </c>
      <c r="Y5" s="81">
        <f t="shared" si="0"/>
        <v>1.2</v>
      </c>
      <c r="Z5" s="81">
        <f t="shared" si="0"/>
        <v>1.2</v>
      </c>
      <c r="AA5" s="81">
        <f t="shared" si="0"/>
        <v>6.480000000000001E-2</v>
      </c>
      <c r="AB5" s="59">
        <f t="shared" si="0"/>
        <v>5.4</v>
      </c>
      <c r="AC5" t="s">
        <v>139</v>
      </c>
    </row>
    <row r="6" spans="2:29" x14ac:dyDescent="0.3">
      <c r="B6" s="22">
        <v>2012</v>
      </c>
      <c r="C6" s="54">
        <v>0.3</v>
      </c>
      <c r="D6" s="55">
        <v>0.42</v>
      </c>
      <c r="E6" s="55">
        <v>0.3</v>
      </c>
      <c r="F6" s="55">
        <v>0.19</v>
      </c>
      <c r="G6" s="31" t="s">
        <v>67</v>
      </c>
      <c r="I6" s="49" t="s">
        <v>149</v>
      </c>
      <c r="T6" s="20" t="s">
        <v>138</v>
      </c>
      <c r="U6" s="81">
        <v>26</v>
      </c>
      <c r="V6" s="81">
        <v>51</v>
      </c>
      <c r="W6" s="81">
        <v>1.9</v>
      </c>
      <c r="X6" s="81">
        <v>0.3</v>
      </c>
      <c r="Y6" s="81">
        <v>1.2</v>
      </c>
      <c r="Z6" s="81">
        <v>1.2</v>
      </c>
      <c r="AA6" s="81">
        <f>AB6/100*Z6</f>
        <v>6.480000000000001E-2</v>
      </c>
      <c r="AB6" s="59">
        <v>5.4</v>
      </c>
      <c r="AC6" t="s">
        <v>139</v>
      </c>
    </row>
    <row r="7" spans="2:29" x14ac:dyDescent="0.3">
      <c r="B7" s="22">
        <v>2013</v>
      </c>
      <c r="C7" s="54">
        <v>0.3</v>
      </c>
      <c r="D7" s="55">
        <v>0.42</v>
      </c>
      <c r="E7" s="55">
        <v>0.3</v>
      </c>
      <c r="F7" s="55">
        <v>0.19</v>
      </c>
      <c r="G7" s="31" t="s">
        <v>67</v>
      </c>
      <c r="T7" s="20" t="s">
        <v>140</v>
      </c>
      <c r="U7" s="81">
        <v>57</v>
      </c>
      <c r="V7" s="81">
        <v>51</v>
      </c>
      <c r="W7" s="81">
        <v>0.69</v>
      </c>
      <c r="X7" s="81">
        <v>70</v>
      </c>
      <c r="Y7" s="81">
        <v>1.9</v>
      </c>
      <c r="Z7" s="81">
        <v>1.9</v>
      </c>
      <c r="AA7" s="81">
        <f>AB7/100*Z7</f>
        <v>0.1615</v>
      </c>
      <c r="AB7" s="59">
        <v>8.5</v>
      </c>
      <c r="AC7" s="1" t="s">
        <v>141</v>
      </c>
    </row>
    <row r="8" spans="2:29" x14ac:dyDescent="0.3">
      <c r="B8" s="22">
        <v>2014</v>
      </c>
      <c r="C8" s="54">
        <v>0.3</v>
      </c>
      <c r="D8" s="55">
        <v>0.42</v>
      </c>
      <c r="E8" s="55">
        <v>0.3</v>
      </c>
      <c r="F8" s="55">
        <v>0.19</v>
      </c>
      <c r="G8" s="31" t="s">
        <v>67</v>
      </c>
      <c r="I8" s="109" t="s">
        <v>68</v>
      </c>
      <c r="J8" s="111" t="s">
        <v>69</v>
      </c>
      <c r="K8" s="112"/>
      <c r="T8" s="20" t="s">
        <v>145</v>
      </c>
      <c r="U8" s="58">
        <v>4600</v>
      </c>
      <c r="V8" s="58">
        <v>110</v>
      </c>
      <c r="W8" s="58">
        <v>484</v>
      </c>
      <c r="X8" s="58">
        <v>900</v>
      </c>
      <c r="Y8" s="58">
        <v>404</v>
      </c>
      <c r="Z8" s="58">
        <v>398</v>
      </c>
      <c r="AA8" s="58">
        <f>AB8/100*Z8</f>
        <v>25.472000000000001</v>
      </c>
      <c r="AB8" s="59">
        <v>6.4</v>
      </c>
      <c r="AC8" s="40" t="s">
        <v>137</v>
      </c>
    </row>
    <row r="9" spans="2:29" x14ac:dyDescent="0.3">
      <c r="B9" s="22">
        <v>2015</v>
      </c>
      <c r="C9" s="54">
        <v>0.3</v>
      </c>
      <c r="D9" s="55">
        <v>0.42</v>
      </c>
      <c r="E9" s="55">
        <v>0.3</v>
      </c>
      <c r="F9" s="55">
        <v>0.19</v>
      </c>
      <c r="G9" s="31" t="s">
        <v>67</v>
      </c>
      <c r="I9" s="110"/>
      <c r="J9" s="30" t="s">
        <v>73</v>
      </c>
      <c r="K9" s="30" t="s">
        <v>72</v>
      </c>
    </row>
    <row r="10" spans="2:29" x14ac:dyDescent="0.3">
      <c r="B10" s="22">
        <v>2016</v>
      </c>
      <c r="C10" s="54">
        <v>0.3</v>
      </c>
      <c r="D10" s="55">
        <v>0.42</v>
      </c>
      <c r="E10" s="55">
        <v>0.3</v>
      </c>
      <c r="F10" s="55">
        <v>0.19</v>
      </c>
      <c r="G10" s="31" t="s">
        <v>67</v>
      </c>
      <c r="I10" s="20" t="s">
        <v>74</v>
      </c>
      <c r="J10" s="25">
        <f>'[1]Energía y contenido de carbono'!$M$5/1000000000</f>
        <v>1.7412166666666669E-5</v>
      </c>
      <c r="K10" s="20" t="s">
        <v>75</v>
      </c>
      <c r="N10" s="25">
        <f>17275/1000000000</f>
        <v>1.7275E-5</v>
      </c>
    </row>
    <row r="11" spans="2:29" x14ac:dyDescent="0.3">
      <c r="B11" s="22">
        <v>2017</v>
      </c>
      <c r="C11" s="54">
        <v>0.3</v>
      </c>
      <c r="D11" s="55">
        <v>0.42</v>
      </c>
      <c r="E11" s="55">
        <v>0.3</v>
      </c>
      <c r="F11" s="55">
        <v>0.19</v>
      </c>
      <c r="G11" s="31" t="s">
        <v>67</v>
      </c>
      <c r="I11" s="49" t="s">
        <v>149</v>
      </c>
      <c r="N11" s="63" t="s">
        <v>155</v>
      </c>
    </row>
    <row r="12" spans="2:29" ht="15" thickBot="1" x14ac:dyDescent="0.35">
      <c r="B12" s="22">
        <v>2018</v>
      </c>
      <c r="C12" s="54">
        <v>0.3</v>
      </c>
      <c r="D12" s="55">
        <v>0.42</v>
      </c>
      <c r="E12" s="55">
        <v>0.3</v>
      </c>
      <c r="F12" s="55">
        <v>0.19</v>
      </c>
      <c r="G12" s="31" t="s">
        <v>67</v>
      </c>
    </row>
    <row r="13" spans="2:29" x14ac:dyDescent="0.3">
      <c r="B13" s="22">
        <v>2019</v>
      </c>
      <c r="C13" s="54">
        <v>0.3</v>
      </c>
      <c r="D13" s="55">
        <v>0.42</v>
      </c>
      <c r="E13" s="55">
        <v>0.3</v>
      </c>
      <c r="F13" s="55">
        <v>0.19</v>
      </c>
      <c r="G13" s="31" t="s">
        <v>67</v>
      </c>
      <c r="I13" s="106" t="s">
        <v>116</v>
      </c>
      <c r="J13" s="107"/>
    </row>
    <row r="14" spans="2:29" ht="15" thickBot="1" x14ac:dyDescent="0.35">
      <c r="B14" s="22">
        <v>2020</v>
      </c>
      <c r="C14" s="54">
        <v>0.3</v>
      </c>
      <c r="D14" s="55">
        <v>0.42</v>
      </c>
      <c r="E14" s="55">
        <v>0.3</v>
      </c>
      <c r="F14" s="55">
        <v>0.19</v>
      </c>
      <c r="G14" s="31" t="s">
        <v>67</v>
      </c>
      <c r="I14" s="56">
        <f>'[2]Calculos propios'!$T$6</f>
        <v>7.3806724874458691</v>
      </c>
      <c r="J14" s="57" t="s">
        <v>148</v>
      </c>
    </row>
    <row r="15" spans="2:29" x14ac:dyDescent="0.3">
      <c r="B15" s="22">
        <v>2021</v>
      </c>
      <c r="C15" s="54">
        <v>0.3</v>
      </c>
      <c r="D15" s="55">
        <v>0.42</v>
      </c>
      <c r="E15" s="55">
        <v>0.3</v>
      </c>
      <c r="F15" s="55">
        <v>0.19</v>
      </c>
      <c r="G15" s="31" t="s">
        <v>67</v>
      </c>
      <c r="I15" s="49" t="s">
        <v>151</v>
      </c>
    </row>
    <row r="16" spans="2:29" x14ac:dyDescent="0.3">
      <c r="B16" s="22">
        <v>2022</v>
      </c>
      <c r="C16" s="54">
        <v>0.3</v>
      </c>
      <c r="D16" s="55">
        <v>0.42</v>
      </c>
      <c r="E16" s="55">
        <v>0.3</v>
      </c>
      <c r="F16" s="55">
        <v>0.19</v>
      </c>
      <c r="G16" s="31" t="s">
        <v>67</v>
      </c>
    </row>
    <row r="17" spans="2:12" x14ac:dyDescent="0.3">
      <c r="B17" s="22">
        <v>2023</v>
      </c>
      <c r="C17" s="54">
        <v>0.3</v>
      </c>
      <c r="D17" s="55">
        <v>0.42</v>
      </c>
      <c r="E17" s="55">
        <v>0.3</v>
      </c>
      <c r="F17" s="55">
        <v>0.19</v>
      </c>
      <c r="G17" s="31" t="s">
        <v>67</v>
      </c>
      <c r="I17" s="21" t="s">
        <v>107</v>
      </c>
    </row>
    <row r="18" spans="2:12" x14ac:dyDescent="0.3">
      <c r="B18" s="22">
        <v>2024</v>
      </c>
      <c r="C18" s="54">
        <v>0.3</v>
      </c>
      <c r="D18" s="55">
        <v>0.42</v>
      </c>
      <c r="E18" s="55">
        <v>0.3</v>
      </c>
      <c r="F18" s="55">
        <v>0.19</v>
      </c>
      <c r="G18" s="31" t="s">
        <v>67</v>
      </c>
      <c r="I18" s="28" t="s">
        <v>108</v>
      </c>
      <c r="J18" s="28" t="s">
        <v>109</v>
      </c>
      <c r="K18" s="28" t="s">
        <v>110</v>
      </c>
      <c r="L18" s="28" t="s">
        <v>111</v>
      </c>
    </row>
    <row r="19" spans="2:12" ht="15.6" x14ac:dyDescent="0.3">
      <c r="B19" s="22">
        <v>2025</v>
      </c>
      <c r="C19" s="54">
        <v>0.3</v>
      </c>
      <c r="D19" s="55">
        <v>0.42</v>
      </c>
      <c r="E19" s="55">
        <v>0.3</v>
      </c>
      <c r="F19" s="55">
        <v>0.19</v>
      </c>
      <c r="G19" s="31" t="s">
        <v>67</v>
      </c>
      <c r="I19" s="29" t="s">
        <v>112</v>
      </c>
      <c r="J19" s="64">
        <v>1</v>
      </c>
      <c r="K19" s="64">
        <v>1</v>
      </c>
      <c r="L19" s="65">
        <v>1</v>
      </c>
    </row>
    <row r="20" spans="2:12" ht="15.6" x14ac:dyDescent="0.3">
      <c r="B20" s="22">
        <v>2026</v>
      </c>
      <c r="C20" s="54">
        <v>0.3</v>
      </c>
      <c r="D20" s="55">
        <v>0.42</v>
      </c>
      <c r="E20" s="55">
        <v>0.3</v>
      </c>
      <c r="F20" s="55">
        <v>0.19</v>
      </c>
      <c r="G20" s="31" t="s">
        <v>67</v>
      </c>
      <c r="I20" s="29" t="s">
        <v>113</v>
      </c>
      <c r="J20" s="64">
        <v>21</v>
      </c>
      <c r="K20" s="64">
        <v>25</v>
      </c>
      <c r="L20" s="65">
        <v>28</v>
      </c>
    </row>
    <row r="21" spans="2:12" ht="15.6" x14ac:dyDescent="0.3">
      <c r="B21" s="22">
        <v>2027</v>
      </c>
      <c r="C21" s="54">
        <v>0.3</v>
      </c>
      <c r="D21" s="55">
        <v>0.42</v>
      </c>
      <c r="E21" s="55">
        <v>0.3</v>
      </c>
      <c r="F21" s="55">
        <v>0.19</v>
      </c>
      <c r="G21" s="31" t="s">
        <v>67</v>
      </c>
      <c r="I21" s="29" t="s">
        <v>114</v>
      </c>
      <c r="J21" s="64">
        <v>310</v>
      </c>
      <c r="K21" s="64">
        <v>298</v>
      </c>
      <c r="L21" s="65">
        <v>265</v>
      </c>
    </row>
    <row r="22" spans="2:12" x14ac:dyDescent="0.3">
      <c r="B22" s="22">
        <v>2028</v>
      </c>
      <c r="C22" s="54">
        <v>0.3</v>
      </c>
      <c r="D22" s="55">
        <v>0.42</v>
      </c>
      <c r="E22" s="55">
        <v>0.3</v>
      </c>
      <c r="F22" s="55">
        <v>0.19</v>
      </c>
      <c r="G22" s="31" t="s">
        <v>67</v>
      </c>
      <c r="I22" s="1" t="s">
        <v>115</v>
      </c>
    </row>
    <row r="23" spans="2:12" x14ac:dyDescent="0.3">
      <c r="B23" s="22">
        <v>2029</v>
      </c>
      <c r="C23" s="54">
        <v>0.3</v>
      </c>
      <c r="D23" s="55">
        <v>0.42</v>
      </c>
      <c r="E23" s="55">
        <v>0.3</v>
      </c>
      <c r="F23" s="55">
        <v>0.19</v>
      </c>
      <c r="G23" s="31" t="s">
        <v>67</v>
      </c>
      <c r="I23" s="48" t="s">
        <v>150</v>
      </c>
    </row>
    <row r="24" spans="2:12" x14ac:dyDescent="0.3">
      <c r="B24" s="22">
        <v>2030</v>
      </c>
      <c r="C24" s="54">
        <v>0.3</v>
      </c>
      <c r="D24" s="55">
        <v>0.42</v>
      </c>
      <c r="E24" s="55">
        <v>0.3</v>
      </c>
      <c r="F24" s="55">
        <v>0.19</v>
      </c>
      <c r="G24" s="31" t="s">
        <v>67</v>
      </c>
    </row>
  </sheetData>
  <mergeCells count="6">
    <mergeCell ref="I13:J13"/>
    <mergeCell ref="L2:Q2"/>
    <mergeCell ref="I2:I3"/>
    <mergeCell ref="J2:K2"/>
    <mergeCell ref="J8:K8"/>
    <mergeCell ref="I8:I9"/>
  </mergeCells>
  <hyperlinks>
    <hyperlink ref="I23" r:id="rId1" display="https://www.ghgprotocol.org/sites/default/files/ghgp/Global-Warming-Potential-Values %28Feb 16 2016%29_1.pdf" xr:uid="{00000000-0004-0000-0400-000000000000}"/>
    <hyperlink ref="N11" r:id="rId2" xr:uid="{00000000-0004-0000-04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Proveedores</vt:lpstr>
      <vt:lpstr>Formato</vt:lpstr>
      <vt:lpstr>Variables</vt:lpstr>
      <vt:lpstr>Factores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Alfonso Cordova</cp:lastModifiedBy>
  <dcterms:created xsi:type="dcterms:W3CDTF">2019-09-02T17:20:30Z</dcterms:created>
  <dcterms:modified xsi:type="dcterms:W3CDTF">2020-08-01T00:48:34Z</dcterms:modified>
</cp:coreProperties>
</file>