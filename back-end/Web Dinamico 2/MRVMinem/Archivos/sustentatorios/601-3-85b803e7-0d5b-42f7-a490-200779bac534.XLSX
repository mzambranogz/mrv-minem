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<sst xmlns="http://schemas.openxmlformats.org/spreadsheetml/2006/main" count="26" uniqueCount="21">
  <si>
    <t>=</t>
  </si>
  <si>
    <t>[P9]-[P10]</t>
  </si>
  <si>
    <t>[P9]|-|[P10]</t>
  </si>
  <si>
    <t>[P7]/([C1]-[F2])*[C1000]/[F3]*[F6]/[C1000]</t>
  </si>
  <si>
    <t>([P33]/[C100]*[C7.3807])*[C0.0156]*([C112]*[F20]+[C0.3]*[C30]+[C0.004]*[C265])</t>
  </si>
  <si>
    <t>(([F12]-[F13])/([C1]-[F2])*[C1]/[C1000]*[F11]*[P12])*([C12]-[F10])/12</t>
  </si>
  <si>
    <t>ID_PARAMETRO</t>
  </si>
  <si>
    <t>ID_ENFOQUE</t>
  </si>
  <si>
    <t>ID_MEDMIT</t>
  </si>
  <si>
    <t>FORMULA</t>
  </si>
  <si>
    <t>FORMULA_ARMADO</t>
  </si>
  <si>
    <r>
      <t>(|(|[F12]|-|[F13]|)|/|(|[C1]|-|[F2]|)|*|[C1]|/|[C1000]|*|[F11]|*|[P12]|)|*|(|[C12]|-|[F10]|)|/|</t>
    </r>
    <r>
      <rPr>
        <sz val="11"/>
        <color rgb="FFFF0000"/>
        <rFont val="Calibri"/>
        <family val="2"/>
        <scheme val="minor"/>
      </rPr>
      <t>[C12]</t>
    </r>
  </si>
  <si>
    <r>
      <t>[P7]|/|(|</t>
    </r>
    <r>
      <rPr>
        <sz val="11"/>
        <color rgb="FFFF0000"/>
        <rFont val="Calibri"/>
        <family val="2"/>
        <scheme val="minor"/>
      </rPr>
      <t>[C1]</t>
    </r>
    <r>
      <rPr>
        <sz val="11"/>
        <color theme="1"/>
        <rFont val="Calibri"/>
        <family val="2"/>
        <scheme val="minor"/>
      </rPr>
      <t>|-|[F2]|)|*|[C1000]|/|[F3]|*|[F6]|/|[C1000]</t>
    </r>
  </si>
  <si>
    <r>
      <t>(|[P33]|/|[C100]|*|[C7.3807]</t>
    </r>
    <r>
      <rPr>
        <sz val="11"/>
        <color rgb="FFFF0000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>)|*|[C0.0156]|*|(|[C112]|*|[F20]|+|[C0.3]|*|[C30]|+|[C0.004]|*|[C265]|)</t>
    </r>
  </si>
  <si>
    <r>
      <rPr>
        <sz val="11"/>
        <color rgb="FFFF000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([P45]*[F36]*([F38]+[F40]*[C21]+[F42]*[C310]))/[P47]*[C1000]</t>
    </r>
    <r>
      <rPr>
        <sz val="11"/>
        <color rgb="FFFF0000"/>
        <rFont val="Calibri"/>
        <family val="2"/>
        <scheme val="minor"/>
      </rPr>
      <t>)*[P47]/[C1000000]</t>
    </r>
  </si>
  <si>
    <r>
      <rPr>
        <sz val="11"/>
        <color rgb="FFFF0000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([P44]*[F35]*([F37]+[F39]*[C21]+[F41]*[C310]))/[P46]*[C1000]</t>
    </r>
    <r>
      <rPr>
        <sz val="11"/>
        <color rgb="FFFF0000"/>
        <rFont val="Calibri"/>
        <family val="2"/>
        <scheme val="minor"/>
      </rPr>
      <t>)*[P47]/[C1000000]</t>
    </r>
  </si>
  <si>
    <r>
      <rPr>
        <sz val="11"/>
        <color rgb="FFFF0000"/>
        <rFont val="Calibri"/>
        <family val="2"/>
        <scheme val="minor"/>
      </rPr>
      <t>(|</t>
    </r>
    <r>
      <rPr>
        <sz val="11"/>
        <color theme="1"/>
        <rFont val="Calibri"/>
        <family val="2"/>
        <scheme val="minor"/>
      </rPr>
      <t>(|[P45]|*|[F36]|*|(|[F38]|+|[F40]|*|[C21]|+|[F42]|*|[C310]|)</t>
    </r>
    <r>
      <rPr>
        <sz val="11"/>
        <color rgb="FFFF0000"/>
        <rFont val="Calibri"/>
        <family val="2"/>
        <scheme val="minor"/>
      </rPr>
      <t>|)|/|[P47]|*|[C1000]|)|*|[P47]|/|[C1000000]</t>
    </r>
  </si>
  <si>
    <r>
      <rPr>
        <sz val="11"/>
        <color rgb="FFFF0000"/>
        <rFont val="Calibri"/>
        <family val="2"/>
        <scheme val="minor"/>
      </rPr>
      <t>(|</t>
    </r>
    <r>
      <rPr>
        <sz val="11"/>
        <color theme="1"/>
        <rFont val="Calibri"/>
        <family val="2"/>
        <scheme val="minor"/>
      </rPr>
      <t>(|[P44]|*|[F35]|*|(|[F37]|+|[F39]|*|[C21]|+|[F41]|*|[C310]|)|)|/|[P46]|*|[C1000]|)</t>
    </r>
    <r>
      <rPr>
        <sz val="11"/>
        <color rgb="FFFF0000"/>
        <rFont val="Calibri"/>
        <family val="2"/>
        <scheme val="minor"/>
      </rPr>
      <t>|*|[P47]|/|[C1000000]</t>
    </r>
  </si>
  <si>
    <t>COMPORTAMIENTO</t>
  </si>
  <si>
    <t>VALOR</t>
  </si>
  <si>
    <t>T_MAEM_FORMULA_PARAMETRO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</si>
</sst>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1"/>
  <sheetViews>
    <sheetView tabSelected="1" workbookViewId="0">
      <selection activeCell="C22" sqref="C22"/>
    </sheetView>
  </sheetViews>
  <sheetFormatPr baseColWidth="10" defaultColWidth="9.140625" defaultRowHeight="15" x14ac:dyDescent="0.25"/>
  <cols>
    <col min="1" max="1" width="16" customWidth="1"/>
    <col min="2" max="2" width="17.42578125" customWidth="1"/>
    <col min="3" max="3" width="19" customWidth="1"/>
    <col min="4" max="4" width="15.5703125" customWidth="1"/>
    <col min="5" max="5" width="17.28515625" customWidth="1"/>
    <col min="6" max="6" width="84.140625" customWidth="1"/>
    <col min="7" max="7" width="86.140625" customWidth="1"/>
    <col min="8" max="8" width="36.7109375" customWidth="1"/>
  </cols>
  <sheetData>
    <row r="3" spans="1:7" x14ac:dyDescent="0.25">
      <c r="A3" t="s">
        <v>20</v>
      </c>
    </row>
    <row r="5" spans="1:7" x14ac:dyDescent="0.25">
      <c r="A5" t="s">
        <v>6</v>
      </c>
      <c r="B5" t="s">
        <v>7</v>
      </c>
      <c r="C5" t="s">
        <v>8</v>
      </c>
      <c r="D5" t="s">
        <v>18</v>
      </c>
      <c r="E5" t="s">
        <v>19</v>
      </c>
      <c r="F5" t="s">
        <v>9</v>
      </c>
      <c r="G5" t="s">
        <v>10</v>
      </c>
    </row>
    <row r="6" spans="1:7" x14ac:dyDescent="0.25">
      <c r="A6">
        <v>10</v>
      </c>
      <c r="B6">
        <v>3</v>
      </c>
      <c r="C6">
        <v>12</v>
      </c>
      <c r="D6" t="s">
        <v>0</v>
      </c>
      <c r="F6" t="s">
        <v>3</v>
      </c>
      <c r="G6" t="s">
        <v>12</v>
      </c>
    </row>
    <row r="7" spans="1:7" x14ac:dyDescent="0.25">
      <c r="A7">
        <v>11</v>
      </c>
      <c r="B7">
        <v>14</v>
      </c>
      <c r="C7">
        <v>2</v>
      </c>
      <c r="D7" t="s">
        <v>0</v>
      </c>
      <c r="F7" t="s">
        <v>5</v>
      </c>
      <c r="G7" t="s">
        <v>11</v>
      </c>
    </row>
    <row r="8" spans="1:7" x14ac:dyDescent="0.25">
      <c r="A8">
        <v>9</v>
      </c>
      <c r="B8">
        <v>9</v>
      </c>
      <c r="C8">
        <v>8</v>
      </c>
      <c r="D8" t="s">
        <v>0</v>
      </c>
      <c r="F8" t="s">
        <v>4</v>
      </c>
      <c r="G8" t="s">
        <v>13</v>
      </c>
    </row>
    <row r="9" spans="1:7" x14ac:dyDescent="0.25">
      <c r="A9">
        <v>11</v>
      </c>
      <c r="B9">
        <v>15</v>
      </c>
      <c r="C9">
        <v>2</v>
      </c>
      <c r="D9" t="s">
        <v>0</v>
      </c>
      <c r="F9" s="1" t="s">
        <v>1</v>
      </c>
      <c r="G9" s="1" t="s">
        <v>2</v>
      </c>
    </row>
    <row r="10" spans="1:7" x14ac:dyDescent="0.25">
      <c r="A10">
        <v>10</v>
      </c>
      <c r="B10">
        <v>15</v>
      </c>
      <c r="C10">
        <v>2</v>
      </c>
      <c r="D10" t="s">
        <v>0</v>
      </c>
      <c r="F10" t="s">
        <v>14</v>
      </c>
      <c r="G10" t="s">
        <v>16</v>
      </c>
    </row>
    <row r="11" spans="1:7" x14ac:dyDescent="0.25">
      <c r="A11">
        <v>9</v>
      </c>
      <c r="B11">
        <v>15</v>
      </c>
      <c r="C11">
        <v>2</v>
      </c>
      <c r="D11" t="s">
        <v>0</v>
      </c>
      <c r="F11" t="s">
        <v>15</v>
      </c>
      <c r="G11" t="s">
        <v>17</v>
      </c>
    </row>
    <row r="21" spans="1:3" x14ac:dyDescent="0.25">
      <c r="A21">
        <v>6.1166999999999998</v>
      </c>
      <c r="B21">
        <v>1.4476</v>
      </c>
      <c r="C21">
        <f>A21-B21</f>
        <v>4.6691000000000003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2020-03-28T15:39:55Z</dcterms:modified>
</cp:coreProperties>
</file>