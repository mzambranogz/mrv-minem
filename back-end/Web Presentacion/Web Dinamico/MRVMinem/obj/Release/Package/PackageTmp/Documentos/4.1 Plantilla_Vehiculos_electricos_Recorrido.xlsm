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K\Downloads\PLANTILLA_MINEN\CONECTADO\ORDENADO\git-new-repository\back-end\Web Dinamico\MRVMinem\Documentos\"/>
    </mc:Choice>
  </mc:AlternateContent>
  <bookViews>
    <workbookView xWindow="0" yWindow="0" windowWidth="20490" windowHeight="7755"/>
  </bookViews>
  <sheets>
    <sheet name="Formato" sheetId="1" r:id="rId1"/>
    <sheet name="Desplegables" sheetId="2" state="hidden" r:id="rId2"/>
  </sheets>
  <definedNames>
    <definedName name="Año">Desplegables!$A$2:$A$32</definedName>
    <definedName name="Combustible">Desplegables!$F$2:$F$5</definedName>
    <definedName name="Tabla_Combustible">Desplegables!$F$2:$G$5</definedName>
    <definedName name="Tabla_Vehiculo">Desplegables!$C$2:$D$7</definedName>
    <definedName name="Tipo_de_Vehículo">Desplegables!$C$2:$C$7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C2" i="1" l="1"/>
  <c r="E7" i="1" l="1"/>
  <c r="C7" i="1"/>
  <c r="C6" i="1"/>
  <c r="E5" i="1"/>
  <c r="C5" i="1"/>
  <c r="E4" i="1"/>
  <c r="C4" i="1"/>
  <c r="E3" i="1"/>
  <c r="C3" i="1"/>
  <c r="E2" i="1"/>
  <c r="C1" i="1" l="1"/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</calcChain>
</file>

<file path=xl/comments1.xml><?xml version="1.0" encoding="utf-8"?>
<comments xmlns="http://schemas.openxmlformats.org/spreadsheetml/2006/main">
  <authors>
    <author>ARC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Año al que corresponde el registro.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Fecha en que iniciativa empieza a operar.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Categoría del vehículo: automóvil o bus.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Combustible del vehículo que ha sido remplazado (línea base).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Distancia recorrida anualmente por vehículo en promedio.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Número de vehículos de este tipo.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Placa del Vehículo Eléctrico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Factor de Rendimiento (Si no conoce se asigna un factor por defecto.</t>
        </r>
      </text>
    </comment>
  </commentList>
</comments>
</file>

<file path=xl/sharedStrings.xml><?xml version="1.0" encoding="utf-8"?>
<sst xmlns="http://schemas.openxmlformats.org/spreadsheetml/2006/main" count="42" uniqueCount="28">
  <si>
    <t>Gasolina</t>
  </si>
  <si>
    <t>Bus 12m</t>
  </si>
  <si>
    <t>Diesel</t>
  </si>
  <si>
    <t>Moto</t>
  </si>
  <si>
    <t>Combustible</t>
  </si>
  <si>
    <t>GNV</t>
  </si>
  <si>
    <t>GLP</t>
  </si>
  <si>
    <t>Automóvil</t>
  </si>
  <si>
    <t xml:space="preserve">Bus 9m </t>
  </si>
  <si>
    <t>Año</t>
  </si>
  <si>
    <t>Tipo de Vehículo</t>
  </si>
  <si>
    <t>Tipo de Combustible</t>
  </si>
  <si>
    <t>Cantidad</t>
  </si>
  <si>
    <t>Tipo_de_Vehículo</t>
  </si>
  <si>
    <t>Bus 18m</t>
  </si>
  <si>
    <t>Mototaxi</t>
  </si>
  <si>
    <t>N°</t>
  </si>
  <si>
    <t>Id.</t>
  </si>
  <si>
    <t>Inicio de Operaciones</t>
  </si>
  <si>
    <t>Factor de Rendimiento</t>
  </si>
  <si>
    <t>Placa</t>
  </si>
  <si>
    <t>BCD-623</t>
  </si>
  <si>
    <t> F2V-960</t>
  </si>
  <si>
    <t>ABC-001</t>
  </si>
  <si>
    <t>ABC-002</t>
  </si>
  <si>
    <t>BKH-349</t>
  </si>
  <si>
    <t>BJI-197 </t>
  </si>
  <si>
    <t>KRV Electrico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</si>
</sst>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 * #,##0.00_ ;_ * \-#,##0.00_ ;_ * &quot;-&quot;??_ ;_ @_ "/>
    <numFmt numFmtId="165" formatCode="dd/mm/yyyy;@"/>
    <numFmt numFmtId="166" formatCode="0.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0"/>
      <color rgb="FFFFFFFF"/>
      <name val="Arial"/>
      <family val="2"/>
    </font>
    <font>
      <b/>
      <sz val="10"/>
      <color rgb="FF343A40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sz val="11"/>
      <color theme="0"/>
      <name val="Arial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28A745"/>
      </patternFill>
    </fill>
    <fill>
      <patternFill patternType="solid">
        <fgColor rgb="FFFFC107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164" fontId="1" fillId="0" borderId="0" applyFont="0" applyFill="0" applyBorder="0" applyAlignment="0" applyProtection="0"/>
    <xf numFmtId="0" fontId="1" fillId="0" borderId="0"/>
  </cellStyleXfs>
  <cellXfs count="34">
    <xf numFmtId="0" fontId="0" fillId="0" borderId="0" xfId="0"/>
    <xf numFmtId="0" fontId="5" fillId="0" borderId="0" xfId="0" applyFont="1" applyProtection="1">
      <protection hidden="1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/>
      <protection locked="0"/>
    </xf>
    <xf numFmtId="3" fontId="5" fillId="0" borderId="0" xfId="0" applyNumberFormat="1" applyFont="1" applyAlignment="1" applyProtection="1">
      <alignment horizontal="right"/>
      <protection locked="0"/>
    </xf>
    <xf numFmtId="0" fontId="6" fillId="0" borderId="0" xfId="1" applyFont="1" applyBorder="1" applyAlignment="1" applyProtection="1">
      <alignment horizontal="center" vertical="center"/>
      <protection locked="0"/>
    </xf>
    <xf numFmtId="0" fontId="6" fillId="0" borderId="0" xfId="1" applyFont="1" applyBorder="1" applyAlignment="1" applyProtection="1">
      <alignment horizontal="left" vertical="center"/>
      <protection locked="0"/>
    </xf>
    <xf numFmtId="3" fontId="6" fillId="0" borderId="0" xfId="1" applyNumberFormat="1" applyFont="1" applyBorder="1" applyAlignment="1" applyProtection="1">
      <alignment horizontal="right" vertical="center"/>
      <protection locked="0"/>
    </xf>
    <xf numFmtId="0" fontId="7" fillId="5" borderId="1" xfId="0" applyFont="1" applyFill="1" applyBorder="1" applyAlignment="1" applyProtection="1">
      <alignment horizontal="left" vertical="center" wrapText="1"/>
      <protection hidden="1"/>
    </xf>
    <xf numFmtId="0" fontId="0" fillId="0" borderId="0" xfId="0" applyProtection="1">
      <protection hidden="1"/>
    </xf>
    <xf numFmtId="0" fontId="0" fillId="4" borderId="1" xfId="0" applyFill="1" applyBorder="1" applyProtection="1">
      <protection hidden="1"/>
    </xf>
    <xf numFmtId="0" fontId="0" fillId="0" borderId="1" xfId="0" applyBorder="1" applyProtection="1">
      <protection hidden="1"/>
    </xf>
    <xf numFmtId="0" fontId="6" fillId="0" borderId="0" xfId="1" applyFont="1" applyBorder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 hidden="1"/>
    </xf>
    <xf numFmtId="0" fontId="6" fillId="0" borderId="0" xfId="1" applyFont="1" applyBorder="1" applyAlignment="1" applyProtection="1">
      <alignment horizontal="left" vertical="center"/>
      <protection locked="0" hidden="1"/>
    </xf>
    <xf numFmtId="0" fontId="5" fillId="0" borderId="0" xfId="0" applyFont="1" applyAlignment="1" applyProtection="1">
      <alignment horizontal="left"/>
      <protection locked="0" hidden="1"/>
    </xf>
    <xf numFmtId="165" fontId="6" fillId="0" borderId="0" xfId="1" applyNumberFormat="1" applyFont="1" applyBorder="1" applyAlignment="1" applyProtection="1">
      <alignment horizontal="center" vertical="center"/>
      <protection locked="0"/>
    </xf>
    <xf numFmtId="165" fontId="5" fillId="0" borderId="0" xfId="0" applyNumberFormat="1" applyFont="1" applyProtection="1">
      <protection locked="0"/>
    </xf>
    <xf numFmtId="166" fontId="5" fillId="0" borderId="0" xfId="0" applyNumberFormat="1" applyFont="1" applyProtection="1">
      <protection locked="0"/>
    </xf>
    <xf numFmtId="3" fontId="6" fillId="0" borderId="0" xfId="1" applyNumberFormat="1" applyFont="1" applyAlignment="1" applyProtection="1">
      <alignment horizontal="right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/>
    </xf>
    <xf numFmtId="165" fontId="6" fillId="0" borderId="1" xfId="1" applyNumberFormat="1" applyFont="1" applyBorder="1" applyAlignment="1" applyProtection="1">
      <alignment horizontal="center" vertical="center"/>
      <protection locked="0"/>
    </xf>
    <xf numFmtId="0" fontId="6" fillId="0" borderId="1" xfId="1" applyFont="1" applyBorder="1" applyAlignment="1" applyProtection="1">
      <alignment horizontal="center" vertical="center"/>
      <protection locked="0" hidden="1"/>
    </xf>
    <xf numFmtId="0" fontId="6" fillId="0" borderId="1" xfId="1" applyFont="1" applyBorder="1" applyAlignment="1" applyProtection="1">
      <alignment horizontal="left" vertical="center"/>
      <protection locked="0"/>
    </xf>
    <xf numFmtId="0" fontId="6" fillId="0" borderId="1" xfId="1" applyFont="1" applyBorder="1" applyAlignment="1" applyProtection="1">
      <alignment horizontal="left" vertical="center"/>
      <protection locked="0" hidden="1"/>
    </xf>
    <xf numFmtId="3" fontId="6" fillId="0" borderId="1" xfId="1" applyNumberFormat="1" applyFont="1" applyBorder="1" applyAlignment="1" applyProtection="1">
      <alignment horizontal="right" vertical="center"/>
      <protection locked="0"/>
    </xf>
    <xf numFmtId="166" fontId="5" fillId="0" borderId="1" xfId="0" applyNumberFormat="1" applyFont="1" applyBorder="1" applyProtection="1">
      <protection locked="0"/>
    </xf>
    <xf numFmtId="3" fontId="5" fillId="0" borderId="1" xfId="0" applyNumberFormat="1" applyFont="1" applyBorder="1" applyAlignment="1" applyProtection="1">
      <alignment horizontal="right"/>
      <protection locked="0"/>
    </xf>
    <xf numFmtId="0" fontId="3" fillId="2" borderId="2" xfId="1" applyFont="1" applyFill="1" applyBorder="1" applyAlignment="1" applyProtection="1">
      <alignment horizontal="center" vertical="center"/>
      <protection hidden="1"/>
    </xf>
    <xf numFmtId="3" fontId="3" fillId="2" borderId="2" xfId="1" applyNumberFormat="1" applyFont="1" applyFill="1" applyBorder="1" applyAlignment="1" applyProtection="1">
      <alignment horizontal="center" vertical="center" wrapText="1"/>
      <protection hidden="1"/>
    </xf>
    <xf numFmtId="0" fontId="3" fillId="2" borderId="2" xfId="1" applyFont="1" applyFill="1" applyBorder="1" applyAlignment="1" applyProtection="1">
      <alignment horizontal="left" vertical="center"/>
      <protection hidden="1"/>
    </xf>
    <xf numFmtId="0" fontId="4" fillId="3" borderId="2" xfId="1" applyFont="1" applyFill="1" applyBorder="1" applyAlignment="1" applyProtection="1">
      <alignment horizontal="center" vertical="center" wrapText="1"/>
      <protection hidden="1"/>
    </xf>
    <xf numFmtId="3" fontId="3" fillId="2" borderId="2" xfId="1" applyNumberFormat="1" applyFont="1" applyFill="1" applyBorder="1" applyAlignment="1" applyProtection="1">
      <alignment horizontal="center" vertical="center"/>
      <protection hidden="1"/>
    </xf>
    <xf numFmtId="166" fontId="3" fillId="2" borderId="2" xfId="1" applyNumberFormat="1" applyFont="1" applyFill="1" applyBorder="1" applyAlignment="1" applyProtection="1">
      <alignment horizontal="center" vertical="center" wrapText="1"/>
      <protection hidden="1"/>
    </xf>
  </cellXfs>
  <cellStyles count="4">
    <cellStyle name="Millares 2" xfId="2"/>
    <cellStyle name="Normal" xfId="0" builtinId="0"/>
    <cellStyle name="Normal 10 3" xfId="3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C000"/>
  </sheetPr>
  <dimension ref="A1:J14"/>
  <sheetViews>
    <sheetView tabSelected="1" workbookViewId="0">
      <selection activeCell="H16" sqref="H16"/>
    </sheetView>
  </sheetViews>
  <sheetFormatPr baseColWidth="10" defaultColWidth="11.42578125" defaultRowHeight="12.75" x14ac:dyDescent="0.2"/>
  <cols>
    <col min="1" max="1" width="8.7109375" style="2" customWidth="1"/>
    <col min="2" max="2" width="16" style="17" customWidth="1"/>
    <col min="3" max="3" width="14.42578125" style="13" hidden="1" customWidth="1"/>
    <col min="4" max="4" width="19.42578125" style="3" customWidth="1"/>
    <col min="5" max="5" width="3.28515625" style="15" hidden="1" customWidth="1"/>
    <col min="6" max="6" width="15.140625" style="3" customWidth="1"/>
    <col min="7" max="7" width="12.7109375" style="4" customWidth="1"/>
    <col min="8" max="8" width="14.85546875" style="4" customWidth="1"/>
    <col min="9" max="9" width="22.5703125" style="4" customWidth="1"/>
    <col min="10" max="10" width="13.42578125" style="18" customWidth="1"/>
    <col min="11" max="11" width="3" style="1" customWidth="1"/>
    <col min="12" max="12" width="11.42578125" style="1"/>
    <col min="13" max="13" width="3.28515625" style="1" customWidth="1"/>
    <col min="14" max="16384" width="11.42578125" style="1"/>
  </cols>
  <sheetData>
    <row r="1" spans="1:10" ht="25.5" x14ac:dyDescent="0.2">
      <c r="A1" s="28" t="s">
        <v>9</v>
      </c>
      <c r="B1" s="29" t="s">
        <v>18</v>
      </c>
      <c r="C1" s="28" t="e">
        <f t="shared" ref="C1" si="0">VLOOKUP(D1,Tabla_Vehiculo,2,)</f>
        <v>#N/A</v>
      </c>
      <c r="D1" s="30" t="s">
        <v>10</v>
      </c>
      <c r="E1" s="31" t="s">
        <v>17</v>
      </c>
      <c r="F1" s="31" t="s">
        <v>11</v>
      </c>
      <c r="G1" s="32" t="s">
        <v>27</v>
      </c>
      <c r="H1" s="32" t="s">
        <v>12</v>
      </c>
      <c r="I1" s="32" t="s">
        <v>19</v>
      </c>
      <c r="J1" s="33" t="s">
        <v>20</v>
      </c>
    </row>
    <row r="2" spans="1:10" x14ac:dyDescent="0.2">
      <c r="A2" s="20">
        <v>2018</v>
      </c>
      <c r="B2" s="21">
        <v>43179</v>
      </c>
      <c r="C2" s="22">
        <f>VLOOKUP(D2,Tabla_Vehiculo,2,)</f>
        <v>1</v>
      </c>
      <c r="D2" s="23" t="s">
        <v>7</v>
      </c>
      <c r="E2" s="24">
        <f t="shared" ref="E2:E7" si="1">VLOOKUP(F2,Tabla_Combustible,2,)</f>
        <v>3</v>
      </c>
      <c r="F2" s="23" t="s">
        <v>0</v>
      </c>
      <c r="G2" s="25">
        <v>57600</v>
      </c>
      <c r="H2" s="25">
        <v>20</v>
      </c>
      <c r="I2" s="26">
        <v>0.16289999999999999</v>
      </c>
      <c r="J2" s="25" t="s">
        <v>23</v>
      </c>
    </row>
    <row r="3" spans="1:10" x14ac:dyDescent="0.2">
      <c r="A3" s="20">
        <v>2018</v>
      </c>
      <c r="B3" s="21">
        <v>43180</v>
      </c>
      <c r="C3" s="22">
        <f t="shared" ref="C3:C7" si="2">VLOOKUP(D3,Tabla_Vehiculo,2,)</f>
        <v>3</v>
      </c>
      <c r="D3" s="23" t="s">
        <v>1</v>
      </c>
      <c r="E3" s="24">
        <f t="shared" si="1"/>
        <v>4</v>
      </c>
      <c r="F3" s="23" t="s">
        <v>2</v>
      </c>
      <c r="G3" s="25">
        <v>60000</v>
      </c>
      <c r="H3" s="25">
        <v>4</v>
      </c>
      <c r="I3" s="26">
        <v>1.2</v>
      </c>
      <c r="J3" s="25" t="s">
        <v>24</v>
      </c>
    </row>
    <row r="4" spans="1:10" x14ac:dyDescent="0.2">
      <c r="A4" s="20">
        <v>2019</v>
      </c>
      <c r="B4" s="21">
        <v>43666</v>
      </c>
      <c r="C4" s="22">
        <f t="shared" si="2"/>
        <v>1</v>
      </c>
      <c r="D4" s="23" t="s">
        <v>7</v>
      </c>
      <c r="E4" s="24">
        <f t="shared" si="1"/>
        <v>3</v>
      </c>
      <c r="F4" s="23" t="s">
        <v>0</v>
      </c>
      <c r="G4" s="25">
        <v>34184</v>
      </c>
      <c r="H4" s="25">
        <v>1</v>
      </c>
      <c r="I4" s="26">
        <v>0.25</v>
      </c>
      <c r="J4" s="25" t="s">
        <v>21</v>
      </c>
    </row>
    <row r="5" spans="1:10" x14ac:dyDescent="0.2">
      <c r="A5" s="20">
        <v>2019</v>
      </c>
      <c r="B5" s="21">
        <v>43805</v>
      </c>
      <c r="C5" s="22">
        <f t="shared" si="2"/>
        <v>1</v>
      </c>
      <c r="D5" s="23" t="s">
        <v>7</v>
      </c>
      <c r="E5" s="24">
        <f t="shared" si="1"/>
        <v>3</v>
      </c>
      <c r="F5" s="23" t="s">
        <v>0</v>
      </c>
      <c r="G5" s="27">
        <v>6761</v>
      </c>
      <c r="H5" s="27">
        <v>1</v>
      </c>
      <c r="I5" s="26">
        <v>0.1666</v>
      </c>
      <c r="J5" s="25" t="s">
        <v>25</v>
      </c>
    </row>
    <row r="6" spans="1:10" x14ac:dyDescent="0.2">
      <c r="A6" s="20">
        <v>2019</v>
      </c>
      <c r="B6" s="21">
        <v>43545</v>
      </c>
      <c r="C6" s="22">
        <f t="shared" si="2"/>
        <v>3</v>
      </c>
      <c r="D6" s="23" t="s">
        <v>1</v>
      </c>
      <c r="E6" s="24">
        <f>VLOOKUP(F6,Tabla_Combustible,2,)</f>
        <v>4</v>
      </c>
      <c r="F6" s="23" t="s">
        <v>2</v>
      </c>
      <c r="G6" s="25">
        <v>21799</v>
      </c>
      <c r="H6" s="25">
        <v>1</v>
      </c>
      <c r="I6" s="26">
        <v>0.82299999999999995</v>
      </c>
      <c r="J6" s="25" t="s">
        <v>22</v>
      </c>
    </row>
    <row r="7" spans="1:10" x14ac:dyDescent="0.2">
      <c r="A7" s="20">
        <v>2019</v>
      </c>
      <c r="B7" s="21">
        <v>43559</v>
      </c>
      <c r="C7" s="22">
        <f t="shared" si="2"/>
        <v>1</v>
      </c>
      <c r="D7" s="23" t="s">
        <v>7</v>
      </c>
      <c r="E7" s="24">
        <f t="shared" si="1"/>
        <v>3</v>
      </c>
      <c r="F7" s="23" t="s">
        <v>0</v>
      </c>
      <c r="G7" s="25">
        <v>10838</v>
      </c>
      <c r="H7" s="25">
        <v>1</v>
      </c>
      <c r="I7" s="26">
        <v>0.14899999999999999</v>
      </c>
      <c r="J7" s="25" t="s">
        <v>26</v>
      </c>
    </row>
    <row r="8" spans="1:10" x14ac:dyDescent="0.2">
      <c r="A8" s="5"/>
      <c r="B8" s="16"/>
      <c r="C8" s="12"/>
      <c r="D8" s="6"/>
      <c r="E8" s="14"/>
      <c r="F8" s="6"/>
      <c r="G8" s="7"/>
      <c r="H8" s="7"/>
      <c r="I8" s="7"/>
    </row>
    <row r="9" spans="1:10" x14ac:dyDescent="0.2">
      <c r="I9" s="19"/>
    </row>
    <row r="10" spans="1:10" x14ac:dyDescent="0.2">
      <c r="I10" s="19"/>
    </row>
    <row r="11" spans="1:10" x14ac:dyDescent="0.2">
      <c r="I11" s="19"/>
    </row>
    <row r="12" spans="1:10" x14ac:dyDescent="0.2">
      <c r="I12" s="19"/>
    </row>
    <row r="13" spans="1:10" x14ac:dyDescent="0.2">
      <c r="I13" s="19"/>
    </row>
    <row r="14" spans="1:10" x14ac:dyDescent="0.2">
      <c r="I14" s="19"/>
    </row>
  </sheetData>
  <sheetProtection algorithmName="SHA-512" hashValue="4qSXQpFswgunJ+afai68vPDxDbVrm4RqFbnbrdRY8py4hsRVnYlKA1/4NGW8JQnoYc1KYZ6dCaQ/QVQG5QCQ+Q==" saltValue="0O1yjVv9RVC/lIsp+Cshaw==" spinCount="100000" sheet="1" objects="1" scenarios="1" selectLockedCells="1"/>
  <dataValidations count="8">
    <dataValidation type="list" allowBlank="1" showInputMessage="1" showErrorMessage="1" sqref="D2:D1048576">
      <formula1>Tipo_de_Vehículo</formula1>
    </dataValidation>
    <dataValidation type="list" allowBlank="1" showInputMessage="1" showErrorMessage="1" sqref="F2:F1048576">
      <formula1>Combustible</formula1>
    </dataValidation>
    <dataValidation type="list" allowBlank="1" showInputMessage="1" showErrorMessage="1" sqref="A2:A1048576">
      <formula1>Año</formula1>
    </dataValidation>
    <dataValidation type="decimal" showInputMessage="1" showErrorMessage="1" sqref="G2:G1048576">
      <formula1>0</formula1>
      <formula2>9999999.99</formula2>
    </dataValidation>
    <dataValidation type="whole" showInputMessage="1" showErrorMessage="1" sqref="H2:H1048576">
      <formula1>1</formula1>
      <formula2>99999999</formula2>
    </dataValidation>
    <dataValidation type="date" operator="lessThanOrEqual" allowBlank="1" showInputMessage="1" showErrorMessage="1" error="Por favor ingrese una fecha válida" sqref="B2:B1048576">
      <formula1>TODAY()</formula1>
    </dataValidation>
    <dataValidation type="decimal" operator="lessThan" allowBlank="1" showInputMessage="1" showErrorMessage="1" error="Ingrese un valor numerico válido" sqref="J8:J1048576">
      <formula1>99.99</formula1>
    </dataValidation>
    <dataValidation showInputMessage="1" showErrorMessage="1" sqref="I2:I1048576 J2:J7"/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9"/>
  </sheetPr>
  <dimension ref="A1:G32"/>
  <sheetViews>
    <sheetView workbookViewId="0">
      <selection activeCell="E13" sqref="E13"/>
    </sheetView>
  </sheetViews>
  <sheetFormatPr baseColWidth="10" defaultColWidth="10.85546875" defaultRowHeight="15" x14ac:dyDescent="0.25"/>
  <cols>
    <col min="1" max="1" width="11.42578125" style="9" customWidth="1"/>
    <col min="2" max="2" width="6.42578125" style="9" customWidth="1"/>
    <col min="3" max="3" width="20.28515625" style="9" customWidth="1"/>
    <col min="4" max="4" width="6.42578125" style="9" customWidth="1"/>
    <col min="5" max="5" width="10.85546875" style="9"/>
    <col min="6" max="6" width="16" style="9" customWidth="1"/>
    <col min="7" max="7" width="5.5703125" style="9" customWidth="1"/>
    <col min="8" max="16384" width="10.85546875" style="9"/>
  </cols>
  <sheetData>
    <row r="1" spans="1:7" x14ac:dyDescent="0.25">
      <c r="A1" s="8" t="s">
        <v>9</v>
      </c>
      <c r="C1" s="8" t="s">
        <v>13</v>
      </c>
      <c r="D1" s="8" t="s">
        <v>16</v>
      </c>
      <c r="F1" s="8" t="s">
        <v>4</v>
      </c>
      <c r="G1" s="8" t="s">
        <v>16</v>
      </c>
    </row>
    <row r="2" spans="1:7" x14ac:dyDescent="0.25">
      <c r="A2" s="10">
        <v>2020</v>
      </c>
      <c r="C2" s="10" t="s">
        <v>7</v>
      </c>
      <c r="D2" s="11">
        <v>1</v>
      </c>
      <c r="F2" s="10" t="s">
        <v>5</v>
      </c>
      <c r="G2" s="11">
        <v>1</v>
      </c>
    </row>
    <row r="3" spans="1:7" x14ac:dyDescent="0.25">
      <c r="A3" s="10">
        <f>A2-1</f>
        <v>2019</v>
      </c>
      <c r="C3" s="10" t="s">
        <v>8</v>
      </c>
      <c r="D3" s="11">
        <v>2</v>
      </c>
      <c r="F3" s="10" t="s">
        <v>6</v>
      </c>
      <c r="G3" s="11">
        <v>2</v>
      </c>
    </row>
    <row r="4" spans="1:7" x14ac:dyDescent="0.25">
      <c r="A4" s="10">
        <f t="shared" ref="A4:A22" si="0">A3-1</f>
        <v>2018</v>
      </c>
      <c r="C4" s="10" t="s">
        <v>1</v>
      </c>
      <c r="D4" s="11">
        <v>3</v>
      </c>
      <c r="F4" s="10" t="s">
        <v>0</v>
      </c>
      <c r="G4" s="11">
        <v>3</v>
      </c>
    </row>
    <row r="5" spans="1:7" x14ac:dyDescent="0.25">
      <c r="A5" s="10">
        <f t="shared" si="0"/>
        <v>2017</v>
      </c>
      <c r="C5" s="10" t="s">
        <v>14</v>
      </c>
      <c r="D5" s="11">
        <v>4</v>
      </c>
      <c r="F5" s="10" t="s">
        <v>2</v>
      </c>
      <c r="G5" s="11">
        <v>4</v>
      </c>
    </row>
    <row r="6" spans="1:7" x14ac:dyDescent="0.25">
      <c r="A6" s="10">
        <f t="shared" si="0"/>
        <v>2016</v>
      </c>
      <c r="C6" s="10" t="s">
        <v>15</v>
      </c>
      <c r="D6" s="11">
        <v>5</v>
      </c>
    </row>
    <row r="7" spans="1:7" x14ac:dyDescent="0.25">
      <c r="A7" s="10">
        <f t="shared" si="0"/>
        <v>2015</v>
      </c>
      <c r="C7" s="10" t="s">
        <v>3</v>
      </c>
      <c r="D7" s="11">
        <v>6</v>
      </c>
    </row>
    <row r="8" spans="1:7" x14ac:dyDescent="0.25">
      <c r="A8" s="10">
        <f t="shared" si="0"/>
        <v>2014</v>
      </c>
    </row>
    <row r="9" spans="1:7" x14ac:dyDescent="0.25">
      <c r="A9" s="10">
        <f t="shared" si="0"/>
        <v>2013</v>
      </c>
    </row>
    <row r="10" spans="1:7" x14ac:dyDescent="0.25">
      <c r="A10" s="10">
        <f t="shared" si="0"/>
        <v>2012</v>
      </c>
    </row>
    <row r="11" spans="1:7" x14ac:dyDescent="0.25">
      <c r="A11" s="10">
        <f t="shared" si="0"/>
        <v>2011</v>
      </c>
    </row>
    <row r="12" spans="1:7" x14ac:dyDescent="0.25">
      <c r="A12" s="10">
        <f t="shared" si="0"/>
        <v>2010</v>
      </c>
    </row>
    <row r="13" spans="1:7" x14ac:dyDescent="0.25">
      <c r="A13" s="10">
        <f t="shared" si="0"/>
        <v>2009</v>
      </c>
    </row>
    <row r="14" spans="1:7" x14ac:dyDescent="0.25">
      <c r="A14" s="10">
        <f t="shared" si="0"/>
        <v>2008</v>
      </c>
    </row>
    <row r="15" spans="1:7" x14ac:dyDescent="0.25">
      <c r="A15" s="10">
        <f t="shared" si="0"/>
        <v>2007</v>
      </c>
    </row>
    <row r="16" spans="1:7" x14ac:dyDescent="0.25">
      <c r="A16" s="10">
        <f t="shared" si="0"/>
        <v>2006</v>
      </c>
    </row>
    <row r="17" spans="1:1" x14ac:dyDescent="0.25">
      <c r="A17" s="10">
        <f t="shared" si="0"/>
        <v>2005</v>
      </c>
    </row>
    <row r="18" spans="1:1" x14ac:dyDescent="0.25">
      <c r="A18" s="10">
        <f t="shared" si="0"/>
        <v>2004</v>
      </c>
    </row>
    <row r="19" spans="1:1" x14ac:dyDescent="0.25">
      <c r="A19" s="10">
        <f t="shared" si="0"/>
        <v>2003</v>
      </c>
    </row>
    <row r="20" spans="1:1" x14ac:dyDescent="0.25">
      <c r="A20" s="10">
        <f t="shared" si="0"/>
        <v>2002</v>
      </c>
    </row>
    <row r="21" spans="1:1" x14ac:dyDescent="0.25">
      <c r="A21" s="10">
        <f t="shared" si="0"/>
        <v>2001</v>
      </c>
    </row>
    <row r="22" spans="1:1" x14ac:dyDescent="0.25">
      <c r="A22" s="10">
        <f t="shared" si="0"/>
        <v>2000</v>
      </c>
    </row>
    <row r="23" spans="1:1" x14ac:dyDescent="0.25">
      <c r="A23" s="11">
        <v>2021</v>
      </c>
    </row>
    <row r="24" spans="1:1" x14ac:dyDescent="0.25">
      <c r="A24" s="11">
        <v>2022</v>
      </c>
    </row>
    <row r="25" spans="1:1" x14ac:dyDescent="0.25">
      <c r="A25" s="11">
        <v>2023</v>
      </c>
    </row>
    <row r="26" spans="1:1" x14ac:dyDescent="0.25">
      <c r="A26" s="11">
        <v>2024</v>
      </c>
    </row>
    <row r="27" spans="1:1" x14ac:dyDescent="0.25">
      <c r="A27" s="11">
        <v>2025</v>
      </c>
    </row>
    <row r="28" spans="1:1" x14ac:dyDescent="0.25">
      <c r="A28" s="11">
        <v>2026</v>
      </c>
    </row>
    <row r="29" spans="1:1" x14ac:dyDescent="0.25">
      <c r="A29" s="11">
        <v>2027</v>
      </c>
    </row>
    <row r="30" spans="1:1" x14ac:dyDescent="0.25">
      <c r="A30" s="11">
        <v>2028</v>
      </c>
    </row>
    <row r="31" spans="1:1" x14ac:dyDescent="0.25">
      <c r="A31" s="11">
        <v>2029</v>
      </c>
    </row>
    <row r="32" spans="1:1" x14ac:dyDescent="0.25">
      <c r="A32" s="11">
        <v>2030</v>
      </c>
    </row>
  </sheetData>
  <sheetProtection selectLockedCells="1" selectUnlockedCell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B09F-5E56-4C94-9CC3-6C7763E3A6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5</vt:i4>
      </vt:variant>
    </vt:vector>
  </HeadingPairs>
  <TitlesOfParts>
    <vt:vector size="7" baseType="lpstr">
      <vt:lpstr>Formato</vt:lpstr>
      <vt:lpstr>Desplegables</vt:lpstr>
      <vt:lpstr>Año</vt:lpstr>
      <vt:lpstr>Combustible</vt:lpstr>
      <vt:lpstr>Tabla_Combustible</vt:lpstr>
      <vt:lpstr>Tabla_Vehiculo</vt:lpstr>
      <vt:lpstr>Tipo_de_Vehículo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ARC</dc:creator>
  <cp:lastModifiedBy>JK</cp:lastModifiedBy>
  <dcterms:created xsi:type="dcterms:W3CDTF">2020-02-05T21:13:05Z</dcterms:created>
  <dcterms:modified xsi:type="dcterms:W3CDTF">2020-02-24T17:59:04Z</dcterms:modified>
</cp:coreProperties>
</file>